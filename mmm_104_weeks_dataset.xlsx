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MMM\"/>
    </mc:Choice>
  </mc:AlternateContent>
  <xr:revisionPtr revIDLastSave="0" documentId="13_ncr:1_{93FE29FC-AD74-4F9C-A1D9-FA605BD20D6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MM_Data" sheetId="1" r:id="rId1"/>
    <sheet name="formulas" sheetId="2" r:id="rId2"/>
    <sheet name="Sheet3" sheetId="5" r:id="rId3"/>
  </sheets>
  <calcPr calcId="191029"/>
</workbook>
</file>

<file path=xl/calcChain.xml><?xml version="1.0" encoding="utf-8"?>
<calcChain xmlns="http://schemas.openxmlformats.org/spreadsheetml/2006/main">
  <c r="L13" i="5" l="1"/>
  <c r="L12" i="5"/>
  <c r="L11" i="5"/>
  <c r="K13" i="5"/>
  <c r="K12" i="5"/>
  <c r="K11" i="5"/>
  <c r="T3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2" i="2"/>
  <c r="T2" i="2" s="1"/>
  <c r="T4" i="2" s="1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P2" i="2"/>
</calcChain>
</file>

<file path=xl/sharedStrings.xml><?xml version="1.0" encoding="utf-8"?>
<sst xmlns="http://schemas.openxmlformats.org/spreadsheetml/2006/main" count="1301" uniqueCount="533">
  <si>
    <t>Week</t>
  </si>
  <si>
    <t>YouTube</t>
  </si>
  <si>
    <t>Google_Search</t>
  </si>
  <si>
    <t>TV</t>
  </si>
  <si>
    <t>Meta</t>
  </si>
  <si>
    <t>Display</t>
  </si>
  <si>
    <t>Affiliate</t>
  </si>
  <si>
    <t>Influencer</t>
  </si>
  <si>
    <t>Radio</t>
  </si>
  <si>
    <t>OTT</t>
  </si>
  <si>
    <t>Print</t>
  </si>
  <si>
    <t>Sales</t>
  </si>
  <si>
    <t>1</t>
  </si>
  <si>
    <t>120</t>
  </si>
  <si>
    <t>200</t>
  </si>
  <si>
    <t>300</t>
  </si>
  <si>
    <t>150</t>
  </si>
  <si>
    <t>80</t>
  </si>
  <si>
    <t>60</t>
  </si>
  <si>
    <t>40</t>
  </si>
  <si>
    <t>90</t>
  </si>
  <si>
    <t>110</t>
  </si>
  <si>
    <t>70</t>
  </si>
  <si>
    <t>5200</t>
  </si>
  <si>
    <t>2</t>
  </si>
  <si>
    <t>130</t>
  </si>
  <si>
    <t>210</t>
  </si>
  <si>
    <t>320</t>
  </si>
  <si>
    <t>160</t>
  </si>
  <si>
    <t>85</t>
  </si>
  <si>
    <t>65</t>
  </si>
  <si>
    <t>42</t>
  </si>
  <si>
    <t>95</t>
  </si>
  <si>
    <t>115</t>
  </si>
  <si>
    <t>72</t>
  </si>
  <si>
    <t>5400</t>
  </si>
  <si>
    <t>3</t>
  </si>
  <si>
    <t>125</t>
  </si>
  <si>
    <t>205</t>
  </si>
  <si>
    <t>310</t>
  </si>
  <si>
    <t>155</t>
  </si>
  <si>
    <t>82</t>
  </si>
  <si>
    <t>63</t>
  </si>
  <si>
    <t>41</t>
  </si>
  <si>
    <t>92</t>
  </si>
  <si>
    <t>112</t>
  </si>
  <si>
    <t>71</t>
  </si>
  <si>
    <t>5300</t>
  </si>
  <si>
    <t>4</t>
  </si>
  <si>
    <t>140</t>
  </si>
  <si>
    <t>220</t>
  </si>
  <si>
    <t>330</t>
  </si>
  <si>
    <t>170</t>
  </si>
  <si>
    <t>45</t>
  </si>
  <si>
    <t>100</t>
  </si>
  <si>
    <t>75</t>
  </si>
  <si>
    <t>5600</t>
  </si>
  <si>
    <t>5</t>
  </si>
  <si>
    <t>230</t>
  </si>
  <si>
    <t>350</t>
  </si>
  <si>
    <t>180</t>
  </si>
  <si>
    <t>48</t>
  </si>
  <si>
    <t>105</t>
  </si>
  <si>
    <t>78</t>
  </si>
  <si>
    <t>5900</t>
  </si>
  <si>
    <t>6</t>
  </si>
  <si>
    <t>240</t>
  </si>
  <si>
    <t>370</t>
  </si>
  <si>
    <t>190</t>
  </si>
  <si>
    <t>50</t>
  </si>
  <si>
    <t>6100</t>
  </si>
  <si>
    <t>7</t>
  </si>
  <si>
    <t>235</t>
  </si>
  <si>
    <t>360</t>
  </si>
  <si>
    <t>185</t>
  </si>
  <si>
    <t>98</t>
  </si>
  <si>
    <t>49</t>
  </si>
  <si>
    <t>108</t>
  </si>
  <si>
    <t>128</t>
  </si>
  <si>
    <t>79</t>
  </si>
  <si>
    <t>6000</t>
  </si>
  <si>
    <t>8</t>
  </si>
  <si>
    <t>250</t>
  </si>
  <si>
    <t>380</t>
  </si>
  <si>
    <t>52</t>
  </si>
  <si>
    <t>135</t>
  </si>
  <si>
    <t>6300</t>
  </si>
  <si>
    <t>9</t>
  </si>
  <si>
    <t>260</t>
  </si>
  <si>
    <t>400</t>
  </si>
  <si>
    <t>55</t>
  </si>
  <si>
    <t>6600</t>
  </si>
  <si>
    <t>10</t>
  </si>
  <si>
    <t>175</t>
  </si>
  <si>
    <t>255</t>
  </si>
  <si>
    <t>390</t>
  </si>
  <si>
    <t>88</t>
  </si>
  <si>
    <t>54</t>
  </si>
  <si>
    <t>118</t>
  </si>
  <si>
    <t>138</t>
  </si>
  <si>
    <t>84</t>
  </si>
  <si>
    <t>6500</t>
  </si>
  <si>
    <t>11</t>
  </si>
  <si>
    <t>165</t>
  </si>
  <si>
    <t>245</t>
  </si>
  <si>
    <t>195</t>
  </si>
  <si>
    <t>102</t>
  </si>
  <si>
    <t>51</t>
  </si>
  <si>
    <t>132</t>
  </si>
  <si>
    <t>81</t>
  </si>
  <si>
    <t>6200</t>
  </si>
  <si>
    <t>12</t>
  </si>
  <si>
    <t>265</t>
  </si>
  <si>
    <t>410</t>
  </si>
  <si>
    <t>215</t>
  </si>
  <si>
    <t>56</t>
  </si>
  <si>
    <t>122</t>
  </si>
  <si>
    <t>142</t>
  </si>
  <si>
    <t>86</t>
  </si>
  <si>
    <t>6700</t>
  </si>
  <si>
    <t>13</t>
  </si>
  <si>
    <t>270</t>
  </si>
  <si>
    <t>420</t>
  </si>
  <si>
    <t>58</t>
  </si>
  <si>
    <t>145</t>
  </si>
  <si>
    <t>6900</t>
  </si>
  <si>
    <t>14</t>
  </si>
  <si>
    <t>280</t>
  </si>
  <si>
    <t>440</t>
  </si>
  <si>
    <t>7100</t>
  </si>
  <si>
    <t>15</t>
  </si>
  <si>
    <t>275</t>
  </si>
  <si>
    <t>430</t>
  </si>
  <si>
    <t>225</t>
  </si>
  <si>
    <t>59</t>
  </si>
  <si>
    <t>148</t>
  </si>
  <si>
    <t>89</t>
  </si>
  <si>
    <t>7000</t>
  </si>
  <si>
    <t>16</t>
  </si>
  <si>
    <t>290</t>
  </si>
  <si>
    <t>460</t>
  </si>
  <si>
    <t>62</t>
  </si>
  <si>
    <t>7400</t>
  </si>
  <si>
    <t>17</t>
  </si>
  <si>
    <t>480</t>
  </si>
  <si>
    <t>7700</t>
  </si>
  <si>
    <t>18</t>
  </si>
  <si>
    <t>295</t>
  </si>
  <si>
    <t>470</t>
  </si>
  <si>
    <t>64</t>
  </si>
  <si>
    <t>158</t>
  </si>
  <si>
    <t>94</t>
  </si>
  <si>
    <t>7600</t>
  </si>
  <si>
    <t>19</t>
  </si>
  <si>
    <t>285</t>
  </si>
  <si>
    <t>450</t>
  </si>
  <si>
    <t>61</t>
  </si>
  <si>
    <t>152</t>
  </si>
  <si>
    <t>91</t>
  </si>
  <si>
    <t>7300</t>
  </si>
  <si>
    <t>20</t>
  </si>
  <si>
    <t>305</t>
  </si>
  <si>
    <t>490</t>
  </si>
  <si>
    <t>66</t>
  </si>
  <si>
    <t>162</t>
  </si>
  <si>
    <t>96</t>
  </si>
  <si>
    <t>7800</t>
  </si>
  <si>
    <t>21</t>
  </si>
  <si>
    <t>500</t>
  </si>
  <si>
    <t>68</t>
  </si>
  <si>
    <t>8000</t>
  </si>
  <si>
    <t>22</t>
  </si>
  <si>
    <t>520</t>
  </si>
  <si>
    <t>8300</t>
  </si>
  <si>
    <t>23</t>
  </si>
  <si>
    <t>315</t>
  </si>
  <si>
    <t>510</t>
  </si>
  <si>
    <t>69</t>
  </si>
  <si>
    <t>168</t>
  </si>
  <si>
    <t>99</t>
  </si>
  <si>
    <t>8200</t>
  </si>
  <si>
    <t>24</t>
  </si>
  <si>
    <t>540</t>
  </si>
  <si>
    <t>8600</t>
  </si>
  <si>
    <t>25</t>
  </si>
  <si>
    <t>340</t>
  </si>
  <si>
    <t>560</t>
  </si>
  <si>
    <t>8900</t>
  </si>
  <si>
    <t>26</t>
  </si>
  <si>
    <t>335</t>
  </si>
  <si>
    <t>550</t>
  </si>
  <si>
    <t>74</t>
  </si>
  <si>
    <t>178</t>
  </si>
  <si>
    <t>104</t>
  </si>
  <si>
    <t>8800</t>
  </si>
  <si>
    <t>27</t>
  </si>
  <si>
    <t>325</t>
  </si>
  <si>
    <t>530</t>
  </si>
  <si>
    <t>172</t>
  </si>
  <si>
    <t>101</t>
  </si>
  <si>
    <t>8500</t>
  </si>
  <si>
    <t>28</t>
  </si>
  <si>
    <t>345</t>
  </si>
  <si>
    <t>570</t>
  </si>
  <si>
    <t>76</t>
  </si>
  <si>
    <t>182</t>
  </si>
  <si>
    <t>106</t>
  </si>
  <si>
    <t>9000</t>
  </si>
  <si>
    <t>29</t>
  </si>
  <si>
    <t>580</t>
  </si>
  <si>
    <t>9200</t>
  </si>
  <si>
    <t>30</t>
  </si>
  <si>
    <t>600</t>
  </si>
  <si>
    <t>9500</t>
  </si>
  <si>
    <t>31</t>
  </si>
  <si>
    <t>355</t>
  </si>
  <si>
    <t>590</t>
  </si>
  <si>
    <t>188</t>
  </si>
  <si>
    <t>109</t>
  </si>
  <si>
    <t>9400</t>
  </si>
  <si>
    <t>32</t>
  </si>
  <si>
    <t>620</t>
  </si>
  <si>
    <t>9800</t>
  </si>
  <si>
    <t>33</t>
  </si>
  <si>
    <t>640</t>
  </si>
  <si>
    <t>10100</t>
  </si>
  <si>
    <t>34</t>
  </si>
  <si>
    <t>375</t>
  </si>
  <si>
    <t>630</t>
  </si>
  <si>
    <t>198</t>
  </si>
  <si>
    <t>114</t>
  </si>
  <si>
    <t>10000</t>
  </si>
  <si>
    <t>35</t>
  </si>
  <si>
    <t>365</t>
  </si>
  <si>
    <t>610</t>
  </si>
  <si>
    <t>192</t>
  </si>
  <si>
    <t>111</t>
  </si>
  <si>
    <t>9700</t>
  </si>
  <si>
    <t>36</t>
  </si>
  <si>
    <t>385</t>
  </si>
  <si>
    <t>650</t>
  </si>
  <si>
    <t>202</t>
  </si>
  <si>
    <t>116</t>
  </si>
  <si>
    <t>10300</t>
  </si>
  <si>
    <t>37</t>
  </si>
  <si>
    <t>660</t>
  </si>
  <si>
    <t>10500</t>
  </si>
  <si>
    <t>38</t>
  </si>
  <si>
    <t>680</t>
  </si>
  <si>
    <t>10800</t>
  </si>
  <si>
    <t>39</t>
  </si>
  <si>
    <t>395</t>
  </si>
  <si>
    <t>670</t>
  </si>
  <si>
    <t>208</t>
  </si>
  <si>
    <t>119</t>
  </si>
  <si>
    <t>10700</t>
  </si>
  <si>
    <t>700</t>
  </si>
  <si>
    <t>11000</t>
  </si>
  <si>
    <t>720</t>
  </si>
  <si>
    <t>11300</t>
  </si>
  <si>
    <t>415</t>
  </si>
  <si>
    <t>710</t>
  </si>
  <si>
    <t>218</t>
  </si>
  <si>
    <t>124</t>
  </si>
  <si>
    <t>11200</t>
  </si>
  <si>
    <t>43</t>
  </si>
  <si>
    <t>405</t>
  </si>
  <si>
    <t>690</t>
  </si>
  <si>
    <t>212</t>
  </si>
  <si>
    <t>121</t>
  </si>
  <si>
    <t>10900</t>
  </si>
  <si>
    <t>44</t>
  </si>
  <si>
    <t>425</t>
  </si>
  <si>
    <t>730</t>
  </si>
  <si>
    <t>222</t>
  </si>
  <si>
    <t>126</t>
  </si>
  <si>
    <t>11500</t>
  </si>
  <si>
    <t>740</t>
  </si>
  <si>
    <t>11700</t>
  </si>
  <si>
    <t>46</t>
  </si>
  <si>
    <t>760</t>
  </si>
  <si>
    <t>12000</t>
  </si>
  <si>
    <t>47</t>
  </si>
  <si>
    <t>435</t>
  </si>
  <si>
    <t>750</t>
  </si>
  <si>
    <t>228</t>
  </si>
  <si>
    <t>129</t>
  </si>
  <si>
    <t>11900</t>
  </si>
  <si>
    <t>780</t>
  </si>
  <si>
    <t>12300</t>
  </si>
  <si>
    <t>800</t>
  </si>
  <si>
    <t>12600</t>
  </si>
  <si>
    <t>455</t>
  </si>
  <si>
    <t>790</t>
  </si>
  <si>
    <t>238</t>
  </si>
  <si>
    <t>134</t>
  </si>
  <si>
    <t>12500</t>
  </si>
  <si>
    <t>445</t>
  </si>
  <si>
    <t>770</t>
  </si>
  <si>
    <t>232</t>
  </si>
  <si>
    <t>131</t>
  </si>
  <si>
    <t>12200</t>
  </si>
  <si>
    <t>465</t>
  </si>
  <si>
    <t>810</t>
  </si>
  <si>
    <t>242</t>
  </si>
  <si>
    <t>136</t>
  </si>
  <si>
    <t>12700</t>
  </si>
  <si>
    <t>53</t>
  </si>
  <si>
    <t>820</t>
  </si>
  <si>
    <t>12900</t>
  </si>
  <si>
    <t>840</t>
  </si>
  <si>
    <t>13200</t>
  </si>
  <si>
    <t>475</t>
  </si>
  <si>
    <t>830</t>
  </si>
  <si>
    <t>248</t>
  </si>
  <si>
    <t>139</t>
  </si>
  <si>
    <t>13100</t>
  </si>
  <si>
    <t>860</t>
  </si>
  <si>
    <t>13500</t>
  </si>
  <si>
    <t>57</t>
  </si>
  <si>
    <t>880</t>
  </si>
  <si>
    <t>13800</t>
  </si>
  <si>
    <t>495</t>
  </si>
  <si>
    <t>870</t>
  </si>
  <si>
    <t>258</t>
  </si>
  <si>
    <t>144</t>
  </si>
  <si>
    <t>13700</t>
  </si>
  <si>
    <t>485</t>
  </si>
  <si>
    <t>850</t>
  </si>
  <si>
    <t>252</t>
  </si>
  <si>
    <t>141</t>
  </si>
  <si>
    <t>13400</t>
  </si>
  <si>
    <t>505</t>
  </si>
  <si>
    <t>890</t>
  </si>
  <si>
    <t>262</t>
  </si>
  <si>
    <t>146</t>
  </si>
  <si>
    <t>13900</t>
  </si>
  <si>
    <t>900</t>
  </si>
  <si>
    <t>14100</t>
  </si>
  <si>
    <t>920</t>
  </si>
  <si>
    <t>14400</t>
  </si>
  <si>
    <t>515</t>
  </si>
  <si>
    <t>910</t>
  </si>
  <si>
    <t>268</t>
  </si>
  <si>
    <t>149</t>
  </si>
  <si>
    <t>14300</t>
  </si>
  <si>
    <t>940</t>
  </si>
  <si>
    <t>14700</t>
  </si>
  <si>
    <t>960</t>
  </si>
  <si>
    <t>15000</t>
  </si>
  <si>
    <t>535</t>
  </si>
  <si>
    <t>950</t>
  </si>
  <si>
    <t>278</t>
  </si>
  <si>
    <t>154</t>
  </si>
  <si>
    <t>14900</t>
  </si>
  <si>
    <t>67</t>
  </si>
  <si>
    <t>525</t>
  </si>
  <si>
    <t>930</t>
  </si>
  <si>
    <t>272</t>
  </si>
  <si>
    <t>151</t>
  </si>
  <si>
    <t>14600</t>
  </si>
  <si>
    <t>545</t>
  </si>
  <si>
    <t>970</t>
  </si>
  <si>
    <t>282</t>
  </si>
  <si>
    <t>156</t>
  </si>
  <si>
    <t>15100</t>
  </si>
  <si>
    <t>980</t>
  </si>
  <si>
    <t>15300</t>
  </si>
  <si>
    <t>1000</t>
  </si>
  <si>
    <t>15600</t>
  </si>
  <si>
    <t>555</t>
  </si>
  <si>
    <t>990</t>
  </si>
  <si>
    <t>288</t>
  </si>
  <si>
    <t>159</t>
  </si>
  <si>
    <t>15500</t>
  </si>
  <si>
    <t>1020</t>
  </si>
  <si>
    <t>15900</t>
  </si>
  <si>
    <t>73</t>
  </si>
  <si>
    <t>1040</t>
  </si>
  <si>
    <t>16200</t>
  </si>
  <si>
    <t>575</t>
  </si>
  <si>
    <t>1030</t>
  </si>
  <si>
    <t>298</t>
  </si>
  <si>
    <t>164</t>
  </si>
  <si>
    <t>16100</t>
  </si>
  <si>
    <t>565</t>
  </si>
  <si>
    <t>1010</t>
  </si>
  <si>
    <t>292</t>
  </si>
  <si>
    <t>161</t>
  </si>
  <si>
    <t>15800</t>
  </si>
  <si>
    <t>585</t>
  </si>
  <si>
    <t>1050</t>
  </si>
  <si>
    <t>302</t>
  </si>
  <si>
    <t>166</t>
  </si>
  <si>
    <t>16300</t>
  </si>
  <si>
    <t>77</t>
  </si>
  <si>
    <t>1060</t>
  </si>
  <si>
    <t>16500</t>
  </si>
  <si>
    <t>1080</t>
  </si>
  <si>
    <t>16800</t>
  </si>
  <si>
    <t>595</t>
  </si>
  <si>
    <t>1070</t>
  </si>
  <si>
    <t>308</t>
  </si>
  <si>
    <t>169</t>
  </si>
  <si>
    <t>16700</t>
  </si>
  <si>
    <t>1100</t>
  </si>
  <si>
    <t>17100</t>
  </si>
  <si>
    <t>1120</t>
  </si>
  <si>
    <t>17400</t>
  </si>
  <si>
    <t>615</t>
  </si>
  <si>
    <t>1110</t>
  </si>
  <si>
    <t>318</t>
  </si>
  <si>
    <t>174</t>
  </si>
  <si>
    <t>17300</t>
  </si>
  <si>
    <t>83</t>
  </si>
  <si>
    <t>605</t>
  </si>
  <si>
    <t>1090</t>
  </si>
  <si>
    <t>312</t>
  </si>
  <si>
    <t>171</t>
  </si>
  <si>
    <t>17000</t>
  </si>
  <si>
    <t>625</t>
  </si>
  <si>
    <t>1130</t>
  </si>
  <si>
    <t>322</t>
  </si>
  <si>
    <t>176</t>
  </si>
  <si>
    <t>17500</t>
  </si>
  <si>
    <t>1140</t>
  </si>
  <si>
    <t>17700</t>
  </si>
  <si>
    <t>1160</t>
  </si>
  <si>
    <t>18000</t>
  </si>
  <si>
    <t>87</t>
  </si>
  <si>
    <t>635</t>
  </si>
  <si>
    <t>1150</t>
  </si>
  <si>
    <t>328</t>
  </si>
  <si>
    <t>179</t>
  </si>
  <si>
    <t>17900</t>
  </si>
  <si>
    <t>1180</t>
  </si>
  <si>
    <t>18300</t>
  </si>
  <si>
    <t>1200</t>
  </si>
  <si>
    <t>18600</t>
  </si>
  <si>
    <t>655</t>
  </si>
  <si>
    <t>1190</t>
  </si>
  <si>
    <t>338</t>
  </si>
  <si>
    <t>184</t>
  </si>
  <si>
    <t>18500</t>
  </si>
  <si>
    <t>645</t>
  </si>
  <si>
    <t>1170</t>
  </si>
  <si>
    <t>332</t>
  </si>
  <si>
    <t>181</t>
  </si>
  <si>
    <t>18200</t>
  </si>
  <si>
    <t>665</t>
  </si>
  <si>
    <t>1210</t>
  </si>
  <si>
    <t>342</t>
  </si>
  <si>
    <t>186</t>
  </si>
  <si>
    <t>18700</t>
  </si>
  <si>
    <t>93</t>
  </si>
  <si>
    <t>1220</t>
  </si>
  <si>
    <t>18900</t>
  </si>
  <si>
    <t>1240</t>
  </si>
  <si>
    <t>19200</t>
  </si>
  <si>
    <t>675</t>
  </si>
  <si>
    <t>1230</t>
  </si>
  <si>
    <t>348</t>
  </si>
  <si>
    <t>189</t>
  </si>
  <si>
    <t>19100</t>
  </si>
  <si>
    <t>1260</t>
  </si>
  <si>
    <t>19500</t>
  </si>
  <si>
    <t>97</t>
  </si>
  <si>
    <t>1280</t>
  </si>
  <si>
    <t>19800</t>
  </si>
  <si>
    <t>695</t>
  </si>
  <si>
    <t>1270</t>
  </si>
  <si>
    <t>358</t>
  </si>
  <si>
    <t>194</t>
  </si>
  <si>
    <t>19700</t>
  </si>
  <si>
    <t>685</t>
  </si>
  <si>
    <t>1250</t>
  </si>
  <si>
    <t>352</t>
  </si>
  <si>
    <t>191</t>
  </si>
  <si>
    <t>19400</t>
  </si>
  <si>
    <t>705</t>
  </si>
  <si>
    <t>1290</t>
  </si>
  <si>
    <t>362</t>
  </si>
  <si>
    <t>196</t>
  </si>
  <si>
    <t>19900</t>
  </si>
  <si>
    <t>1300</t>
  </si>
  <si>
    <t>20100</t>
  </si>
  <si>
    <t>1320</t>
  </si>
  <si>
    <t>20400</t>
  </si>
  <si>
    <t>103</t>
  </si>
  <si>
    <t>715</t>
  </si>
  <si>
    <t>1310</t>
  </si>
  <si>
    <t>368</t>
  </si>
  <si>
    <t>199</t>
  </si>
  <si>
    <t>20300</t>
  </si>
  <si>
    <t>1340</t>
  </si>
  <si>
    <t>20700</t>
  </si>
  <si>
    <t>Decay</t>
  </si>
  <si>
    <t>Youtube_Adstock</t>
  </si>
  <si>
    <t>Youtube_Median</t>
  </si>
  <si>
    <t>n</t>
  </si>
  <si>
    <t>k</t>
  </si>
  <si>
    <t>Youtube_Saturated</t>
  </si>
  <si>
    <t>0-1</t>
  </si>
  <si>
    <t>0.6-0.7</t>
  </si>
  <si>
    <t>revenue/spend</t>
  </si>
  <si>
    <t>revenue = volume * price</t>
  </si>
  <si>
    <t>2.3 = volume * price / spend</t>
  </si>
  <si>
    <t xml:space="preserve">coeff * X = volume </t>
  </si>
  <si>
    <t xml:space="preserve">media </t>
  </si>
  <si>
    <t>non - media</t>
  </si>
  <si>
    <t>youtube</t>
  </si>
  <si>
    <t>meta</t>
  </si>
  <si>
    <t>100K</t>
  </si>
  <si>
    <t>200K</t>
  </si>
  <si>
    <t>2K</t>
  </si>
  <si>
    <t>3K</t>
  </si>
  <si>
    <t>300K</t>
  </si>
  <si>
    <t>4K</t>
  </si>
  <si>
    <t>X - mean/ std</t>
  </si>
  <si>
    <t>volume = X * coeff</t>
  </si>
  <si>
    <t>coeff = volume/X</t>
  </si>
  <si>
    <t>Y_coeff = 100</t>
  </si>
  <si>
    <t>meta_coeff = 200</t>
  </si>
  <si>
    <t>Ridge = it's regression with mean =0  , std = 1</t>
  </si>
  <si>
    <t>lasso = regression with laplace priors</t>
  </si>
  <si>
    <t>(x_pred - x_actual)^2</t>
  </si>
  <si>
    <t>(x_pred - x_actual)^2 + (coeff_model - coeff_prior)^2</t>
  </si>
  <si>
    <t>(2,3)</t>
  </si>
  <si>
    <t>(4,5)</t>
  </si>
  <si>
    <t>ridege for regularization</t>
  </si>
  <si>
    <t>Y</t>
  </si>
  <si>
    <t>optimizers</t>
  </si>
  <si>
    <t>LBFGS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</si>
</sst>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9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1</xdr:row>
      <xdr:rowOff>167640</xdr:rowOff>
    </xdr:from>
    <xdr:to>
      <xdr:col>10</xdr:col>
      <xdr:colOff>602889</xdr:colOff>
      <xdr:row>13</xdr:row>
      <xdr:rowOff>30767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79ADC-27E9-4224-B4BA-279154856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350520"/>
          <a:ext cx="6516009" cy="205768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14</xdr:row>
      <xdr:rowOff>160020</xdr:rowOff>
    </xdr:from>
    <xdr:to>
      <xdr:col>15</xdr:col>
      <xdr:colOff>1255</xdr:colOff>
      <xdr:row>24</xdr:row>
      <xdr:rowOff>141223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9CB7D2-EDB7-1ED0-7646-1362F3F66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2720340"/>
          <a:ext cx="8992855" cy="1810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workbookViewId="0">
      <selection activeCell="N13" sqref="N13"/>
    </sheetView>
  </sheetViews>
  <sheetFormatPr defaultColWidth="10.77734375" defaultRowHeight="14.4" x14ac:dyDescent="0.3"/>
  <cols>
    <col min="3" max="3" width="13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</row>
    <row r="5" spans="1:12" x14ac:dyDescent="0.3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20</v>
      </c>
      <c r="G5" t="s">
        <v>22</v>
      </c>
      <c r="H5" t="s">
        <v>53</v>
      </c>
      <c r="I5" t="s">
        <v>54</v>
      </c>
      <c r="J5" t="s">
        <v>13</v>
      </c>
      <c r="K5" t="s">
        <v>55</v>
      </c>
      <c r="L5" t="s">
        <v>56</v>
      </c>
    </row>
    <row r="6" spans="1:12" x14ac:dyDescent="0.3">
      <c r="A6" t="s">
        <v>57</v>
      </c>
      <c r="B6" t="s">
        <v>16</v>
      </c>
      <c r="C6" t="s">
        <v>58</v>
      </c>
      <c r="D6" t="s">
        <v>59</v>
      </c>
      <c r="E6" t="s">
        <v>60</v>
      </c>
      <c r="F6" t="s">
        <v>32</v>
      </c>
      <c r="G6" t="s">
        <v>55</v>
      </c>
      <c r="H6" t="s">
        <v>61</v>
      </c>
      <c r="I6" t="s">
        <v>62</v>
      </c>
      <c r="J6" t="s">
        <v>37</v>
      </c>
      <c r="K6" t="s">
        <v>63</v>
      </c>
      <c r="L6" t="s">
        <v>64</v>
      </c>
    </row>
    <row r="7" spans="1:12" x14ac:dyDescent="0.3">
      <c r="A7" t="s">
        <v>65</v>
      </c>
      <c r="B7" t="s">
        <v>28</v>
      </c>
      <c r="C7" t="s">
        <v>66</v>
      </c>
      <c r="D7" t="s">
        <v>67</v>
      </c>
      <c r="E7" t="s">
        <v>68</v>
      </c>
      <c r="F7" t="s">
        <v>54</v>
      </c>
      <c r="G7" t="s">
        <v>17</v>
      </c>
      <c r="H7" t="s">
        <v>69</v>
      </c>
      <c r="I7" t="s">
        <v>21</v>
      </c>
      <c r="J7" t="s">
        <v>25</v>
      </c>
      <c r="K7" t="s">
        <v>17</v>
      </c>
      <c r="L7" t="s">
        <v>70</v>
      </c>
    </row>
    <row r="8" spans="1:12" x14ac:dyDescent="0.3">
      <c r="A8" t="s">
        <v>71</v>
      </c>
      <c r="B8" t="s">
        <v>40</v>
      </c>
      <c r="C8" t="s">
        <v>72</v>
      </c>
      <c r="D8" t="s">
        <v>73</v>
      </c>
      <c r="E8" t="s">
        <v>74</v>
      </c>
      <c r="F8" t="s">
        <v>75</v>
      </c>
      <c r="G8" t="s">
        <v>63</v>
      </c>
      <c r="H8" t="s">
        <v>76</v>
      </c>
      <c r="I8" t="s">
        <v>77</v>
      </c>
      <c r="J8" t="s">
        <v>78</v>
      </c>
      <c r="K8" t="s">
        <v>79</v>
      </c>
      <c r="L8" t="s">
        <v>80</v>
      </c>
    </row>
    <row r="9" spans="1:12" x14ac:dyDescent="0.3">
      <c r="A9" t="s">
        <v>81</v>
      </c>
      <c r="B9" t="s">
        <v>52</v>
      </c>
      <c r="C9" t="s">
        <v>82</v>
      </c>
      <c r="D9" t="s">
        <v>83</v>
      </c>
      <c r="E9" t="s">
        <v>14</v>
      </c>
      <c r="F9" t="s">
        <v>62</v>
      </c>
      <c r="G9" t="s">
        <v>29</v>
      </c>
      <c r="H9" t="s">
        <v>84</v>
      </c>
      <c r="I9" t="s">
        <v>33</v>
      </c>
      <c r="J9" t="s">
        <v>85</v>
      </c>
      <c r="K9" t="s">
        <v>41</v>
      </c>
      <c r="L9" t="s">
        <v>86</v>
      </c>
    </row>
    <row r="10" spans="1:12" x14ac:dyDescent="0.3">
      <c r="A10" t="s">
        <v>87</v>
      </c>
      <c r="B10" t="s">
        <v>60</v>
      </c>
      <c r="C10" t="s">
        <v>88</v>
      </c>
      <c r="D10" t="s">
        <v>89</v>
      </c>
      <c r="E10" t="s">
        <v>26</v>
      </c>
      <c r="F10" t="s">
        <v>21</v>
      </c>
      <c r="G10" t="s">
        <v>20</v>
      </c>
      <c r="H10" t="s">
        <v>90</v>
      </c>
      <c r="I10" t="s">
        <v>13</v>
      </c>
      <c r="J10" t="s">
        <v>49</v>
      </c>
      <c r="K10" t="s">
        <v>29</v>
      </c>
      <c r="L10" t="s">
        <v>91</v>
      </c>
    </row>
    <row r="11" spans="1:12" x14ac:dyDescent="0.3">
      <c r="A11" t="s">
        <v>92</v>
      </c>
      <c r="B11" t="s">
        <v>93</v>
      </c>
      <c r="C11" t="s">
        <v>94</v>
      </c>
      <c r="D11" t="s">
        <v>95</v>
      </c>
      <c r="E11" t="s">
        <v>38</v>
      </c>
      <c r="F11" t="s">
        <v>77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101</v>
      </c>
    </row>
    <row r="12" spans="1:12" x14ac:dyDescent="0.3">
      <c r="A12" t="s">
        <v>102</v>
      </c>
      <c r="B12" t="s">
        <v>103</v>
      </c>
      <c r="C12" t="s">
        <v>104</v>
      </c>
      <c r="D12" t="s">
        <v>67</v>
      </c>
      <c r="E12" t="s">
        <v>105</v>
      </c>
      <c r="F12" t="s">
        <v>106</v>
      </c>
      <c r="G12" t="s">
        <v>41</v>
      </c>
      <c r="H12" t="s">
        <v>107</v>
      </c>
      <c r="I12" t="s">
        <v>45</v>
      </c>
      <c r="J12" t="s">
        <v>108</v>
      </c>
      <c r="K12" t="s">
        <v>109</v>
      </c>
      <c r="L12" t="s">
        <v>110</v>
      </c>
    </row>
    <row r="13" spans="1:12" x14ac:dyDescent="0.3">
      <c r="A13" t="s">
        <v>111</v>
      </c>
      <c r="B13" t="s">
        <v>74</v>
      </c>
      <c r="C13" t="s">
        <v>112</v>
      </c>
      <c r="D13" t="s">
        <v>113</v>
      </c>
      <c r="E13" t="s">
        <v>114</v>
      </c>
      <c r="F13" t="s">
        <v>45</v>
      </c>
      <c r="G13" t="s">
        <v>44</v>
      </c>
      <c r="H13" t="s">
        <v>115</v>
      </c>
      <c r="I13" t="s">
        <v>116</v>
      </c>
      <c r="J13" t="s">
        <v>117</v>
      </c>
      <c r="K13" t="s">
        <v>118</v>
      </c>
      <c r="L13" t="s">
        <v>119</v>
      </c>
    </row>
    <row r="14" spans="1:12" x14ac:dyDescent="0.3">
      <c r="A14" t="s">
        <v>120</v>
      </c>
      <c r="B14" t="s">
        <v>68</v>
      </c>
      <c r="C14" t="s">
        <v>121</v>
      </c>
      <c r="D14" t="s">
        <v>122</v>
      </c>
      <c r="E14" t="s">
        <v>50</v>
      </c>
      <c r="F14" t="s">
        <v>33</v>
      </c>
      <c r="G14" t="s">
        <v>32</v>
      </c>
      <c r="H14" t="s">
        <v>123</v>
      </c>
      <c r="I14" t="s">
        <v>37</v>
      </c>
      <c r="J14" t="s">
        <v>124</v>
      </c>
      <c r="K14" t="s">
        <v>96</v>
      </c>
      <c r="L14" t="s">
        <v>125</v>
      </c>
    </row>
    <row r="15" spans="1:12" x14ac:dyDescent="0.3">
      <c r="A15" t="s">
        <v>126</v>
      </c>
      <c r="B15" t="s">
        <v>14</v>
      </c>
      <c r="C15" t="s">
        <v>127</v>
      </c>
      <c r="D15" t="s">
        <v>128</v>
      </c>
      <c r="E15" t="s">
        <v>58</v>
      </c>
      <c r="F15" t="s">
        <v>13</v>
      </c>
      <c r="G15" t="s">
        <v>54</v>
      </c>
      <c r="H15" t="s">
        <v>18</v>
      </c>
      <c r="I15" t="s">
        <v>25</v>
      </c>
      <c r="J15" t="s">
        <v>16</v>
      </c>
      <c r="K15" t="s">
        <v>20</v>
      </c>
      <c r="L15" t="s">
        <v>129</v>
      </c>
    </row>
    <row r="16" spans="1:12" x14ac:dyDescent="0.3">
      <c r="A16" t="s">
        <v>130</v>
      </c>
      <c r="B16" t="s">
        <v>105</v>
      </c>
      <c r="C16" t="s">
        <v>131</v>
      </c>
      <c r="D16" t="s">
        <v>132</v>
      </c>
      <c r="E16" t="s">
        <v>133</v>
      </c>
      <c r="F16" t="s">
        <v>98</v>
      </c>
      <c r="G16" t="s">
        <v>75</v>
      </c>
      <c r="H16" t="s">
        <v>134</v>
      </c>
      <c r="I16" t="s">
        <v>78</v>
      </c>
      <c r="J16" t="s">
        <v>135</v>
      </c>
      <c r="K16" t="s">
        <v>136</v>
      </c>
      <c r="L16" t="s">
        <v>137</v>
      </c>
    </row>
    <row r="17" spans="1:12" x14ac:dyDescent="0.3">
      <c r="A17" t="s">
        <v>138</v>
      </c>
      <c r="B17" t="s">
        <v>26</v>
      </c>
      <c r="C17" t="s">
        <v>139</v>
      </c>
      <c r="D17" t="s">
        <v>140</v>
      </c>
      <c r="E17" t="s">
        <v>66</v>
      </c>
      <c r="F17" t="s">
        <v>37</v>
      </c>
      <c r="G17" t="s">
        <v>62</v>
      </c>
      <c r="H17" t="s">
        <v>141</v>
      </c>
      <c r="I17" t="s">
        <v>85</v>
      </c>
      <c r="J17" t="s">
        <v>40</v>
      </c>
      <c r="K17" t="s">
        <v>44</v>
      </c>
      <c r="L17" t="s">
        <v>142</v>
      </c>
    </row>
    <row r="18" spans="1:12" x14ac:dyDescent="0.3">
      <c r="A18" t="s">
        <v>143</v>
      </c>
      <c r="B18" t="s">
        <v>50</v>
      </c>
      <c r="C18" t="s">
        <v>15</v>
      </c>
      <c r="D18" t="s">
        <v>144</v>
      </c>
      <c r="E18" t="s">
        <v>82</v>
      </c>
      <c r="F18" t="s">
        <v>25</v>
      </c>
      <c r="G18" t="s">
        <v>21</v>
      </c>
      <c r="H18" t="s">
        <v>30</v>
      </c>
      <c r="I18" t="s">
        <v>49</v>
      </c>
      <c r="J18" t="s">
        <v>28</v>
      </c>
      <c r="K18" t="s">
        <v>32</v>
      </c>
      <c r="L18" t="s">
        <v>145</v>
      </c>
    </row>
    <row r="19" spans="1:12" x14ac:dyDescent="0.3">
      <c r="A19" t="s">
        <v>146</v>
      </c>
      <c r="B19" t="s">
        <v>114</v>
      </c>
      <c r="C19" t="s">
        <v>147</v>
      </c>
      <c r="D19" t="s">
        <v>148</v>
      </c>
      <c r="E19" t="s">
        <v>104</v>
      </c>
      <c r="F19" t="s">
        <v>78</v>
      </c>
      <c r="G19" t="s">
        <v>77</v>
      </c>
      <c r="H19" t="s">
        <v>149</v>
      </c>
      <c r="I19" t="s">
        <v>99</v>
      </c>
      <c r="J19" t="s">
        <v>150</v>
      </c>
      <c r="K19" t="s">
        <v>151</v>
      </c>
      <c r="L19" t="s">
        <v>152</v>
      </c>
    </row>
    <row r="20" spans="1:12" x14ac:dyDescent="0.3">
      <c r="A20" t="s">
        <v>153</v>
      </c>
      <c r="B20" t="s">
        <v>38</v>
      </c>
      <c r="C20" t="s">
        <v>154</v>
      </c>
      <c r="D20" t="s">
        <v>155</v>
      </c>
      <c r="E20" t="s">
        <v>72</v>
      </c>
      <c r="F20" t="s">
        <v>116</v>
      </c>
      <c r="G20" t="s">
        <v>106</v>
      </c>
      <c r="H20" t="s">
        <v>156</v>
      </c>
      <c r="I20" t="s">
        <v>108</v>
      </c>
      <c r="J20" t="s">
        <v>157</v>
      </c>
      <c r="K20" t="s">
        <v>158</v>
      </c>
      <c r="L20" t="s">
        <v>159</v>
      </c>
    </row>
    <row r="21" spans="1:12" x14ac:dyDescent="0.3">
      <c r="A21" t="s">
        <v>160</v>
      </c>
      <c r="B21" t="s">
        <v>133</v>
      </c>
      <c r="C21" t="s">
        <v>161</v>
      </c>
      <c r="D21" t="s">
        <v>162</v>
      </c>
      <c r="E21" t="s">
        <v>94</v>
      </c>
      <c r="F21" t="s">
        <v>108</v>
      </c>
      <c r="G21" t="s">
        <v>45</v>
      </c>
      <c r="H21" t="s">
        <v>163</v>
      </c>
      <c r="I21" t="s">
        <v>117</v>
      </c>
      <c r="J21" t="s">
        <v>164</v>
      </c>
      <c r="K21" t="s">
        <v>165</v>
      </c>
      <c r="L21" t="s">
        <v>166</v>
      </c>
    </row>
    <row r="22" spans="1:12" x14ac:dyDescent="0.3">
      <c r="A22" t="s">
        <v>167</v>
      </c>
      <c r="B22" t="s">
        <v>58</v>
      </c>
      <c r="C22" t="s">
        <v>39</v>
      </c>
      <c r="D22" t="s">
        <v>168</v>
      </c>
      <c r="E22" t="s">
        <v>88</v>
      </c>
      <c r="F22" t="s">
        <v>85</v>
      </c>
      <c r="G22" t="s">
        <v>33</v>
      </c>
      <c r="H22" t="s">
        <v>169</v>
      </c>
      <c r="I22" t="s">
        <v>124</v>
      </c>
      <c r="J22" t="s">
        <v>103</v>
      </c>
      <c r="K22" t="s">
        <v>75</v>
      </c>
      <c r="L22" t="s">
        <v>170</v>
      </c>
    </row>
    <row r="23" spans="1:12" x14ac:dyDescent="0.3">
      <c r="A23" t="s">
        <v>171</v>
      </c>
      <c r="B23" t="s">
        <v>66</v>
      </c>
      <c r="C23" t="s">
        <v>27</v>
      </c>
      <c r="D23" t="s">
        <v>172</v>
      </c>
      <c r="E23" t="s">
        <v>121</v>
      </c>
      <c r="F23" t="s">
        <v>49</v>
      </c>
      <c r="G23" t="s">
        <v>13</v>
      </c>
      <c r="H23" t="s">
        <v>22</v>
      </c>
      <c r="I23" t="s">
        <v>16</v>
      </c>
      <c r="J23" t="s">
        <v>52</v>
      </c>
      <c r="K23" t="s">
        <v>54</v>
      </c>
      <c r="L23" t="s">
        <v>173</v>
      </c>
    </row>
    <row r="24" spans="1:12" x14ac:dyDescent="0.3">
      <c r="A24" t="s">
        <v>174</v>
      </c>
      <c r="B24" t="s">
        <v>72</v>
      </c>
      <c r="C24" t="s">
        <v>175</v>
      </c>
      <c r="D24" t="s">
        <v>176</v>
      </c>
      <c r="E24" t="s">
        <v>112</v>
      </c>
      <c r="F24" t="s">
        <v>99</v>
      </c>
      <c r="G24" t="s">
        <v>98</v>
      </c>
      <c r="H24" t="s">
        <v>177</v>
      </c>
      <c r="I24" t="s">
        <v>135</v>
      </c>
      <c r="J24" t="s">
        <v>178</v>
      </c>
      <c r="K24" t="s">
        <v>179</v>
      </c>
      <c r="L24" t="s">
        <v>180</v>
      </c>
    </row>
    <row r="25" spans="1:12" x14ac:dyDescent="0.3">
      <c r="A25" t="s">
        <v>181</v>
      </c>
      <c r="B25" t="s">
        <v>82</v>
      </c>
      <c r="C25" t="s">
        <v>51</v>
      </c>
      <c r="D25" t="s">
        <v>182</v>
      </c>
      <c r="E25" t="s">
        <v>127</v>
      </c>
      <c r="F25" t="s">
        <v>124</v>
      </c>
      <c r="G25" t="s">
        <v>37</v>
      </c>
      <c r="H25" t="s">
        <v>34</v>
      </c>
      <c r="I25" t="s">
        <v>40</v>
      </c>
      <c r="J25" t="s">
        <v>93</v>
      </c>
      <c r="K25" t="s">
        <v>106</v>
      </c>
      <c r="L25" t="s">
        <v>183</v>
      </c>
    </row>
    <row r="26" spans="1:12" x14ac:dyDescent="0.3">
      <c r="A26" t="s">
        <v>184</v>
      </c>
      <c r="B26" t="s">
        <v>88</v>
      </c>
      <c r="C26" t="s">
        <v>185</v>
      </c>
      <c r="D26" t="s">
        <v>186</v>
      </c>
      <c r="E26" t="s">
        <v>139</v>
      </c>
      <c r="F26" t="s">
        <v>16</v>
      </c>
      <c r="G26" t="s">
        <v>25</v>
      </c>
      <c r="H26" t="s">
        <v>55</v>
      </c>
      <c r="I26" t="s">
        <v>28</v>
      </c>
      <c r="J26" t="s">
        <v>60</v>
      </c>
      <c r="K26" t="s">
        <v>62</v>
      </c>
      <c r="L26" t="s">
        <v>187</v>
      </c>
    </row>
    <row r="27" spans="1:12" x14ac:dyDescent="0.3">
      <c r="A27" t="s">
        <v>188</v>
      </c>
      <c r="B27" t="s">
        <v>94</v>
      </c>
      <c r="C27" t="s">
        <v>189</v>
      </c>
      <c r="D27" t="s">
        <v>190</v>
      </c>
      <c r="E27" t="s">
        <v>154</v>
      </c>
      <c r="F27" t="s">
        <v>135</v>
      </c>
      <c r="G27" t="s">
        <v>78</v>
      </c>
      <c r="H27" t="s">
        <v>191</v>
      </c>
      <c r="I27" t="s">
        <v>150</v>
      </c>
      <c r="J27" t="s">
        <v>192</v>
      </c>
      <c r="K27" t="s">
        <v>193</v>
      </c>
      <c r="L27" t="s">
        <v>194</v>
      </c>
    </row>
    <row r="28" spans="1:12" x14ac:dyDescent="0.3">
      <c r="A28" t="s">
        <v>195</v>
      </c>
      <c r="B28" t="s">
        <v>104</v>
      </c>
      <c r="C28" t="s">
        <v>196</v>
      </c>
      <c r="D28" t="s">
        <v>197</v>
      </c>
      <c r="E28" t="s">
        <v>131</v>
      </c>
      <c r="F28" t="s">
        <v>117</v>
      </c>
      <c r="G28" t="s">
        <v>116</v>
      </c>
      <c r="H28" t="s">
        <v>46</v>
      </c>
      <c r="I28" t="s">
        <v>157</v>
      </c>
      <c r="J28" t="s">
        <v>198</v>
      </c>
      <c r="K28" t="s">
        <v>199</v>
      </c>
      <c r="L28" t="s">
        <v>200</v>
      </c>
    </row>
    <row r="29" spans="1:12" x14ac:dyDescent="0.3">
      <c r="A29" t="s">
        <v>201</v>
      </c>
      <c r="B29" t="s">
        <v>112</v>
      </c>
      <c r="C29" t="s">
        <v>202</v>
      </c>
      <c r="D29" t="s">
        <v>203</v>
      </c>
      <c r="E29" t="s">
        <v>147</v>
      </c>
      <c r="F29" t="s">
        <v>157</v>
      </c>
      <c r="G29" t="s">
        <v>108</v>
      </c>
      <c r="H29" t="s">
        <v>204</v>
      </c>
      <c r="I29" t="s">
        <v>164</v>
      </c>
      <c r="J29" t="s">
        <v>205</v>
      </c>
      <c r="K29" t="s">
        <v>206</v>
      </c>
      <c r="L29" t="s">
        <v>207</v>
      </c>
    </row>
    <row r="30" spans="1:12" x14ac:dyDescent="0.3">
      <c r="A30" t="s">
        <v>208</v>
      </c>
      <c r="B30" t="s">
        <v>121</v>
      </c>
      <c r="C30" t="s">
        <v>59</v>
      </c>
      <c r="D30" t="s">
        <v>209</v>
      </c>
      <c r="E30" t="s">
        <v>15</v>
      </c>
      <c r="F30" t="s">
        <v>40</v>
      </c>
      <c r="G30" t="s">
        <v>85</v>
      </c>
      <c r="H30" t="s">
        <v>63</v>
      </c>
      <c r="I30" t="s">
        <v>103</v>
      </c>
      <c r="J30" t="s">
        <v>74</v>
      </c>
      <c r="K30" t="s">
        <v>77</v>
      </c>
      <c r="L30" t="s">
        <v>210</v>
      </c>
    </row>
    <row r="31" spans="1:12" x14ac:dyDescent="0.3">
      <c r="A31" t="s">
        <v>211</v>
      </c>
      <c r="B31" t="s">
        <v>127</v>
      </c>
      <c r="C31" t="s">
        <v>73</v>
      </c>
      <c r="D31" t="s">
        <v>212</v>
      </c>
      <c r="E31" t="s">
        <v>39</v>
      </c>
      <c r="F31" t="s">
        <v>28</v>
      </c>
      <c r="G31" t="s">
        <v>49</v>
      </c>
      <c r="H31" t="s">
        <v>17</v>
      </c>
      <c r="I31" t="s">
        <v>52</v>
      </c>
      <c r="J31" t="s">
        <v>68</v>
      </c>
      <c r="K31" t="s">
        <v>21</v>
      </c>
      <c r="L31" t="s">
        <v>213</v>
      </c>
    </row>
    <row r="32" spans="1:12" x14ac:dyDescent="0.3">
      <c r="A32" t="s">
        <v>214</v>
      </c>
      <c r="B32" t="s">
        <v>131</v>
      </c>
      <c r="C32" t="s">
        <v>215</v>
      </c>
      <c r="D32" t="s">
        <v>216</v>
      </c>
      <c r="E32" t="s">
        <v>161</v>
      </c>
      <c r="F32" t="s">
        <v>150</v>
      </c>
      <c r="G32" t="s">
        <v>99</v>
      </c>
      <c r="H32" t="s">
        <v>79</v>
      </c>
      <c r="I32" t="s">
        <v>178</v>
      </c>
      <c r="J32" t="s">
        <v>217</v>
      </c>
      <c r="K32" t="s">
        <v>218</v>
      </c>
      <c r="L32" t="s">
        <v>219</v>
      </c>
    </row>
    <row r="33" spans="1:12" x14ac:dyDescent="0.3">
      <c r="A33" t="s">
        <v>220</v>
      </c>
      <c r="B33" t="s">
        <v>139</v>
      </c>
      <c r="C33" t="s">
        <v>67</v>
      </c>
      <c r="D33" t="s">
        <v>221</v>
      </c>
      <c r="E33" t="s">
        <v>27</v>
      </c>
      <c r="F33" t="s">
        <v>103</v>
      </c>
      <c r="G33" t="s">
        <v>124</v>
      </c>
      <c r="H33" t="s">
        <v>41</v>
      </c>
      <c r="I33" t="s">
        <v>93</v>
      </c>
      <c r="J33" t="s">
        <v>105</v>
      </c>
      <c r="K33" t="s">
        <v>45</v>
      </c>
      <c r="L33" t="s">
        <v>222</v>
      </c>
    </row>
    <row r="34" spans="1:12" x14ac:dyDescent="0.3">
      <c r="A34" t="s">
        <v>223</v>
      </c>
      <c r="B34" t="s">
        <v>15</v>
      </c>
      <c r="C34" t="s">
        <v>83</v>
      </c>
      <c r="D34" t="s">
        <v>224</v>
      </c>
      <c r="E34" t="s">
        <v>51</v>
      </c>
      <c r="F34" t="s">
        <v>52</v>
      </c>
      <c r="G34" t="s">
        <v>16</v>
      </c>
      <c r="H34" t="s">
        <v>29</v>
      </c>
      <c r="I34" t="s">
        <v>60</v>
      </c>
      <c r="J34" t="s">
        <v>14</v>
      </c>
      <c r="K34" t="s">
        <v>33</v>
      </c>
      <c r="L34" t="s">
        <v>225</v>
      </c>
    </row>
    <row r="35" spans="1:12" x14ac:dyDescent="0.3">
      <c r="A35" t="s">
        <v>226</v>
      </c>
      <c r="B35" t="s">
        <v>147</v>
      </c>
      <c r="C35" t="s">
        <v>227</v>
      </c>
      <c r="D35" t="s">
        <v>228</v>
      </c>
      <c r="E35" t="s">
        <v>196</v>
      </c>
      <c r="F35" t="s">
        <v>178</v>
      </c>
      <c r="G35" t="s">
        <v>135</v>
      </c>
      <c r="H35" t="s">
        <v>100</v>
      </c>
      <c r="I35" t="s">
        <v>192</v>
      </c>
      <c r="J35" t="s">
        <v>229</v>
      </c>
      <c r="K35" t="s">
        <v>230</v>
      </c>
      <c r="L35" t="s">
        <v>231</v>
      </c>
    </row>
    <row r="36" spans="1:12" x14ac:dyDescent="0.3">
      <c r="A36" t="s">
        <v>232</v>
      </c>
      <c r="B36" t="s">
        <v>154</v>
      </c>
      <c r="C36" t="s">
        <v>233</v>
      </c>
      <c r="D36" t="s">
        <v>234</v>
      </c>
      <c r="E36" t="s">
        <v>175</v>
      </c>
      <c r="F36" t="s">
        <v>164</v>
      </c>
      <c r="G36" t="s">
        <v>117</v>
      </c>
      <c r="H36" t="s">
        <v>109</v>
      </c>
      <c r="I36" t="s">
        <v>198</v>
      </c>
      <c r="J36" t="s">
        <v>235</v>
      </c>
      <c r="K36" t="s">
        <v>236</v>
      </c>
      <c r="L36" t="s">
        <v>237</v>
      </c>
    </row>
    <row r="37" spans="1:12" x14ac:dyDescent="0.3">
      <c r="A37" t="s">
        <v>238</v>
      </c>
      <c r="B37" t="s">
        <v>161</v>
      </c>
      <c r="C37" t="s">
        <v>239</v>
      </c>
      <c r="D37" t="s">
        <v>240</v>
      </c>
      <c r="E37" t="s">
        <v>189</v>
      </c>
      <c r="F37" t="s">
        <v>198</v>
      </c>
      <c r="G37" t="s">
        <v>157</v>
      </c>
      <c r="H37" t="s">
        <v>118</v>
      </c>
      <c r="I37" t="s">
        <v>205</v>
      </c>
      <c r="J37" t="s">
        <v>241</v>
      </c>
      <c r="K37" t="s">
        <v>242</v>
      </c>
      <c r="L37" t="s">
        <v>243</v>
      </c>
    </row>
    <row r="38" spans="1:12" x14ac:dyDescent="0.3">
      <c r="A38" t="s">
        <v>244</v>
      </c>
      <c r="B38" t="s">
        <v>39</v>
      </c>
      <c r="C38" t="s">
        <v>95</v>
      </c>
      <c r="D38" t="s">
        <v>245</v>
      </c>
      <c r="E38" t="s">
        <v>185</v>
      </c>
      <c r="F38" t="s">
        <v>93</v>
      </c>
      <c r="G38" t="s">
        <v>40</v>
      </c>
      <c r="H38" t="s">
        <v>96</v>
      </c>
      <c r="I38" t="s">
        <v>74</v>
      </c>
      <c r="J38" t="s">
        <v>38</v>
      </c>
      <c r="K38" t="s">
        <v>98</v>
      </c>
      <c r="L38" t="s">
        <v>246</v>
      </c>
    </row>
    <row r="39" spans="1:12" x14ac:dyDescent="0.3">
      <c r="A39" t="s">
        <v>247</v>
      </c>
      <c r="B39" t="s">
        <v>27</v>
      </c>
      <c r="C39" t="s">
        <v>89</v>
      </c>
      <c r="D39" t="s">
        <v>248</v>
      </c>
      <c r="E39" t="s">
        <v>59</v>
      </c>
      <c r="F39" t="s">
        <v>60</v>
      </c>
      <c r="G39" t="s">
        <v>28</v>
      </c>
      <c r="H39" t="s">
        <v>20</v>
      </c>
      <c r="I39" t="s">
        <v>68</v>
      </c>
      <c r="J39" t="s">
        <v>26</v>
      </c>
      <c r="K39" t="s">
        <v>13</v>
      </c>
      <c r="L39" t="s">
        <v>249</v>
      </c>
    </row>
    <row r="40" spans="1:12" x14ac:dyDescent="0.3">
      <c r="A40" t="s">
        <v>250</v>
      </c>
      <c r="B40" t="s">
        <v>175</v>
      </c>
      <c r="C40" t="s">
        <v>251</v>
      </c>
      <c r="D40" t="s">
        <v>252</v>
      </c>
      <c r="E40" t="s">
        <v>202</v>
      </c>
      <c r="F40" t="s">
        <v>192</v>
      </c>
      <c r="G40" t="s">
        <v>150</v>
      </c>
      <c r="H40" t="s">
        <v>136</v>
      </c>
      <c r="I40" t="s">
        <v>217</v>
      </c>
      <c r="J40" t="s">
        <v>253</v>
      </c>
      <c r="K40" t="s">
        <v>254</v>
      </c>
      <c r="L40" t="s">
        <v>255</v>
      </c>
    </row>
    <row r="41" spans="1:12" x14ac:dyDescent="0.3">
      <c r="A41" t="s">
        <v>19</v>
      </c>
      <c r="B41" t="s">
        <v>51</v>
      </c>
      <c r="C41" t="s">
        <v>113</v>
      </c>
      <c r="D41" t="s">
        <v>256</v>
      </c>
      <c r="E41" t="s">
        <v>73</v>
      </c>
      <c r="F41" t="s">
        <v>74</v>
      </c>
      <c r="G41" t="s">
        <v>103</v>
      </c>
      <c r="H41" t="s">
        <v>44</v>
      </c>
      <c r="I41" t="s">
        <v>105</v>
      </c>
      <c r="J41" t="s">
        <v>114</v>
      </c>
      <c r="K41" t="s">
        <v>116</v>
      </c>
      <c r="L41" t="s">
        <v>257</v>
      </c>
    </row>
    <row r="42" spans="1:12" x14ac:dyDescent="0.3">
      <c r="A42" t="s">
        <v>43</v>
      </c>
      <c r="B42" t="s">
        <v>185</v>
      </c>
      <c r="C42" t="s">
        <v>122</v>
      </c>
      <c r="D42" t="s">
        <v>258</v>
      </c>
      <c r="E42" t="s">
        <v>67</v>
      </c>
      <c r="F42" t="s">
        <v>68</v>
      </c>
      <c r="G42" t="s">
        <v>52</v>
      </c>
      <c r="H42" t="s">
        <v>32</v>
      </c>
      <c r="I42" t="s">
        <v>14</v>
      </c>
      <c r="J42" t="s">
        <v>50</v>
      </c>
      <c r="K42" t="s">
        <v>37</v>
      </c>
      <c r="L42" t="s">
        <v>259</v>
      </c>
    </row>
    <row r="43" spans="1:12" x14ac:dyDescent="0.3">
      <c r="A43" t="s">
        <v>31</v>
      </c>
      <c r="B43" t="s">
        <v>189</v>
      </c>
      <c r="C43" t="s">
        <v>260</v>
      </c>
      <c r="D43" t="s">
        <v>261</v>
      </c>
      <c r="E43" t="s">
        <v>233</v>
      </c>
      <c r="F43" t="s">
        <v>217</v>
      </c>
      <c r="G43" t="s">
        <v>178</v>
      </c>
      <c r="H43" t="s">
        <v>151</v>
      </c>
      <c r="I43" t="s">
        <v>229</v>
      </c>
      <c r="J43" t="s">
        <v>262</v>
      </c>
      <c r="K43" t="s">
        <v>263</v>
      </c>
      <c r="L43" t="s">
        <v>264</v>
      </c>
    </row>
    <row r="44" spans="1:12" x14ac:dyDescent="0.3">
      <c r="A44" t="s">
        <v>265</v>
      </c>
      <c r="B44" t="s">
        <v>196</v>
      </c>
      <c r="C44" t="s">
        <v>266</v>
      </c>
      <c r="D44" t="s">
        <v>267</v>
      </c>
      <c r="E44" t="s">
        <v>215</v>
      </c>
      <c r="F44" t="s">
        <v>205</v>
      </c>
      <c r="G44" t="s">
        <v>164</v>
      </c>
      <c r="H44" t="s">
        <v>158</v>
      </c>
      <c r="I44" t="s">
        <v>235</v>
      </c>
      <c r="J44" t="s">
        <v>268</v>
      </c>
      <c r="K44" t="s">
        <v>269</v>
      </c>
      <c r="L44" t="s">
        <v>270</v>
      </c>
    </row>
    <row r="45" spans="1:12" x14ac:dyDescent="0.3">
      <c r="A45" t="s">
        <v>271</v>
      </c>
      <c r="B45" t="s">
        <v>202</v>
      </c>
      <c r="C45" t="s">
        <v>272</v>
      </c>
      <c r="D45" t="s">
        <v>273</v>
      </c>
      <c r="E45" t="s">
        <v>227</v>
      </c>
      <c r="F45" t="s">
        <v>235</v>
      </c>
      <c r="G45" t="s">
        <v>198</v>
      </c>
      <c r="H45" t="s">
        <v>165</v>
      </c>
      <c r="I45" t="s">
        <v>241</v>
      </c>
      <c r="J45" t="s">
        <v>274</v>
      </c>
      <c r="K45" t="s">
        <v>275</v>
      </c>
      <c r="L45" t="s">
        <v>276</v>
      </c>
    </row>
    <row r="46" spans="1:12" x14ac:dyDescent="0.3">
      <c r="A46" t="s">
        <v>53</v>
      </c>
      <c r="B46" t="s">
        <v>59</v>
      </c>
      <c r="C46" t="s">
        <v>132</v>
      </c>
      <c r="D46" t="s">
        <v>277</v>
      </c>
      <c r="E46" t="s">
        <v>83</v>
      </c>
      <c r="F46" t="s">
        <v>105</v>
      </c>
      <c r="G46" t="s">
        <v>93</v>
      </c>
      <c r="H46" t="s">
        <v>75</v>
      </c>
      <c r="I46" t="s">
        <v>38</v>
      </c>
      <c r="J46" t="s">
        <v>133</v>
      </c>
      <c r="K46" t="s">
        <v>78</v>
      </c>
      <c r="L46" t="s">
        <v>278</v>
      </c>
    </row>
    <row r="47" spans="1:12" x14ac:dyDescent="0.3">
      <c r="A47" t="s">
        <v>279</v>
      </c>
      <c r="B47" t="s">
        <v>73</v>
      </c>
      <c r="C47" t="s">
        <v>128</v>
      </c>
      <c r="D47" t="s">
        <v>280</v>
      </c>
      <c r="E47" t="s">
        <v>95</v>
      </c>
      <c r="F47" t="s">
        <v>14</v>
      </c>
      <c r="G47" t="s">
        <v>60</v>
      </c>
      <c r="H47" t="s">
        <v>54</v>
      </c>
      <c r="I47" t="s">
        <v>26</v>
      </c>
      <c r="J47" t="s">
        <v>58</v>
      </c>
      <c r="K47" t="s">
        <v>25</v>
      </c>
      <c r="L47" t="s">
        <v>281</v>
      </c>
    </row>
    <row r="48" spans="1:12" x14ac:dyDescent="0.3">
      <c r="A48" t="s">
        <v>282</v>
      </c>
      <c r="B48" t="s">
        <v>215</v>
      </c>
      <c r="C48" t="s">
        <v>283</v>
      </c>
      <c r="D48" t="s">
        <v>284</v>
      </c>
      <c r="E48" t="s">
        <v>239</v>
      </c>
      <c r="F48" t="s">
        <v>229</v>
      </c>
      <c r="G48" t="s">
        <v>192</v>
      </c>
      <c r="H48" t="s">
        <v>179</v>
      </c>
      <c r="I48" t="s">
        <v>253</v>
      </c>
      <c r="J48" t="s">
        <v>285</v>
      </c>
      <c r="K48" t="s">
        <v>286</v>
      </c>
      <c r="L48" t="s">
        <v>287</v>
      </c>
    </row>
    <row r="49" spans="1:12" x14ac:dyDescent="0.3">
      <c r="A49" t="s">
        <v>61</v>
      </c>
      <c r="B49" t="s">
        <v>67</v>
      </c>
      <c r="C49" t="s">
        <v>155</v>
      </c>
      <c r="D49" t="s">
        <v>288</v>
      </c>
      <c r="E49" t="s">
        <v>89</v>
      </c>
      <c r="F49" t="s">
        <v>38</v>
      </c>
      <c r="G49" t="s">
        <v>74</v>
      </c>
      <c r="H49" t="s">
        <v>106</v>
      </c>
      <c r="I49" t="s">
        <v>114</v>
      </c>
      <c r="J49" t="s">
        <v>72</v>
      </c>
      <c r="K49" t="s">
        <v>108</v>
      </c>
      <c r="L49" t="s">
        <v>289</v>
      </c>
    </row>
    <row r="50" spans="1:12" x14ac:dyDescent="0.3">
      <c r="A50" t="s">
        <v>76</v>
      </c>
      <c r="B50" t="s">
        <v>83</v>
      </c>
      <c r="C50" t="s">
        <v>140</v>
      </c>
      <c r="D50" t="s">
        <v>290</v>
      </c>
      <c r="E50" t="s">
        <v>113</v>
      </c>
      <c r="F50" t="s">
        <v>26</v>
      </c>
      <c r="G50" t="s">
        <v>68</v>
      </c>
      <c r="H50" t="s">
        <v>62</v>
      </c>
      <c r="I50" t="s">
        <v>50</v>
      </c>
      <c r="J50" t="s">
        <v>66</v>
      </c>
      <c r="K50" t="s">
        <v>85</v>
      </c>
      <c r="L50" t="s">
        <v>291</v>
      </c>
    </row>
    <row r="51" spans="1:12" x14ac:dyDescent="0.3">
      <c r="A51" t="s">
        <v>69</v>
      </c>
      <c r="B51" t="s">
        <v>227</v>
      </c>
      <c r="C51" t="s">
        <v>292</v>
      </c>
      <c r="D51" t="s">
        <v>293</v>
      </c>
      <c r="E51" t="s">
        <v>266</v>
      </c>
      <c r="F51" t="s">
        <v>253</v>
      </c>
      <c r="G51" t="s">
        <v>217</v>
      </c>
      <c r="H51" t="s">
        <v>193</v>
      </c>
      <c r="I51" t="s">
        <v>262</v>
      </c>
      <c r="J51" t="s">
        <v>294</v>
      </c>
      <c r="K51" t="s">
        <v>295</v>
      </c>
      <c r="L51" t="s">
        <v>296</v>
      </c>
    </row>
    <row r="52" spans="1:12" x14ac:dyDescent="0.3">
      <c r="A52" t="s">
        <v>107</v>
      </c>
      <c r="B52" t="s">
        <v>233</v>
      </c>
      <c r="C52" t="s">
        <v>297</v>
      </c>
      <c r="D52" t="s">
        <v>298</v>
      </c>
      <c r="E52" t="s">
        <v>251</v>
      </c>
      <c r="F52" t="s">
        <v>241</v>
      </c>
      <c r="G52" t="s">
        <v>205</v>
      </c>
      <c r="H52" t="s">
        <v>199</v>
      </c>
      <c r="I52" t="s">
        <v>268</v>
      </c>
      <c r="J52" t="s">
        <v>299</v>
      </c>
      <c r="K52" t="s">
        <v>300</v>
      </c>
      <c r="L52" t="s">
        <v>301</v>
      </c>
    </row>
    <row r="53" spans="1:12" x14ac:dyDescent="0.3">
      <c r="A53" t="s">
        <v>84</v>
      </c>
      <c r="B53" t="s">
        <v>239</v>
      </c>
      <c r="C53" t="s">
        <v>302</v>
      </c>
      <c r="D53" t="s">
        <v>303</v>
      </c>
      <c r="E53" t="s">
        <v>260</v>
      </c>
      <c r="F53" t="s">
        <v>268</v>
      </c>
      <c r="G53" t="s">
        <v>235</v>
      </c>
      <c r="H53" t="s">
        <v>206</v>
      </c>
      <c r="I53" t="s">
        <v>274</v>
      </c>
      <c r="J53" t="s">
        <v>304</v>
      </c>
      <c r="K53" t="s">
        <v>305</v>
      </c>
      <c r="L53" t="s">
        <v>306</v>
      </c>
    </row>
    <row r="54" spans="1:12" x14ac:dyDescent="0.3">
      <c r="A54" t="s">
        <v>307</v>
      </c>
      <c r="B54" t="s">
        <v>95</v>
      </c>
      <c r="C54" t="s">
        <v>148</v>
      </c>
      <c r="D54" t="s">
        <v>308</v>
      </c>
      <c r="E54" t="s">
        <v>122</v>
      </c>
      <c r="F54" t="s">
        <v>114</v>
      </c>
      <c r="G54" t="s">
        <v>105</v>
      </c>
      <c r="H54" t="s">
        <v>77</v>
      </c>
      <c r="I54" t="s">
        <v>133</v>
      </c>
      <c r="J54" t="s">
        <v>104</v>
      </c>
      <c r="K54" t="s">
        <v>99</v>
      </c>
      <c r="L54" t="s">
        <v>309</v>
      </c>
    </row>
    <row r="55" spans="1:12" x14ac:dyDescent="0.3">
      <c r="A55" t="s">
        <v>97</v>
      </c>
      <c r="B55" t="s">
        <v>89</v>
      </c>
      <c r="C55" t="s">
        <v>144</v>
      </c>
      <c r="D55" t="s">
        <v>310</v>
      </c>
      <c r="E55" t="s">
        <v>132</v>
      </c>
      <c r="F55" t="s">
        <v>50</v>
      </c>
      <c r="G55" t="s">
        <v>14</v>
      </c>
      <c r="H55" t="s">
        <v>21</v>
      </c>
      <c r="I55" t="s">
        <v>58</v>
      </c>
      <c r="J55" t="s">
        <v>82</v>
      </c>
      <c r="K55" t="s">
        <v>49</v>
      </c>
      <c r="L55" t="s">
        <v>311</v>
      </c>
    </row>
    <row r="56" spans="1:12" x14ac:dyDescent="0.3">
      <c r="A56" t="s">
        <v>90</v>
      </c>
      <c r="B56" t="s">
        <v>251</v>
      </c>
      <c r="C56" t="s">
        <v>312</v>
      </c>
      <c r="D56" t="s">
        <v>313</v>
      </c>
      <c r="E56" t="s">
        <v>272</v>
      </c>
      <c r="F56" t="s">
        <v>262</v>
      </c>
      <c r="G56" t="s">
        <v>229</v>
      </c>
      <c r="H56" t="s">
        <v>218</v>
      </c>
      <c r="I56" t="s">
        <v>285</v>
      </c>
      <c r="J56" t="s">
        <v>314</v>
      </c>
      <c r="K56" t="s">
        <v>315</v>
      </c>
      <c r="L56" t="s">
        <v>316</v>
      </c>
    </row>
    <row r="57" spans="1:12" x14ac:dyDescent="0.3">
      <c r="A57" t="s">
        <v>115</v>
      </c>
      <c r="B57" t="s">
        <v>113</v>
      </c>
      <c r="C57" t="s">
        <v>162</v>
      </c>
      <c r="D57" t="s">
        <v>317</v>
      </c>
      <c r="E57" t="s">
        <v>128</v>
      </c>
      <c r="F57" t="s">
        <v>133</v>
      </c>
      <c r="G57" t="s">
        <v>38</v>
      </c>
      <c r="H57" t="s">
        <v>45</v>
      </c>
      <c r="I57" t="s">
        <v>72</v>
      </c>
      <c r="J57" t="s">
        <v>94</v>
      </c>
      <c r="K57" t="s">
        <v>117</v>
      </c>
      <c r="L57" t="s">
        <v>318</v>
      </c>
    </row>
    <row r="58" spans="1:12" x14ac:dyDescent="0.3">
      <c r="A58" t="s">
        <v>319</v>
      </c>
      <c r="B58" t="s">
        <v>122</v>
      </c>
      <c r="C58" t="s">
        <v>168</v>
      </c>
      <c r="D58" t="s">
        <v>320</v>
      </c>
      <c r="E58" t="s">
        <v>155</v>
      </c>
      <c r="F58" t="s">
        <v>58</v>
      </c>
      <c r="G58" t="s">
        <v>26</v>
      </c>
      <c r="H58" t="s">
        <v>33</v>
      </c>
      <c r="I58" t="s">
        <v>66</v>
      </c>
      <c r="J58" t="s">
        <v>88</v>
      </c>
      <c r="K58" t="s">
        <v>124</v>
      </c>
      <c r="L58" t="s">
        <v>321</v>
      </c>
    </row>
    <row r="59" spans="1:12" x14ac:dyDescent="0.3">
      <c r="A59" t="s">
        <v>123</v>
      </c>
      <c r="B59" t="s">
        <v>260</v>
      </c>
      <c r="C59" t="s">
        <v>322</v>
      </c>
      <c r="D59" t="s">
        <v>323</v>
      </c>
      <c r="E59" t="s">
        <v>297</v>
      </c>
      <c r="F59" t="s">
        <v>285</v>
      </c>
      <c r="G59" t="s">
        <v>253</v>
      </c>
      <c r="H59" t="s">
        <v>230</v>
      </c>
      <c r="I59" t="s">
        <v>294</v>
      </c>
      <c r="J59" t="s">
        <v>324</v>
      </c>
      <c r="K59" t="s">
        <v>325</v>
      </c>
      <c r="L59" t="s">
        <v>326</v>
      </c>
    </row>
    <row r="60" spans="1:12" x14ac:dyDescent="0.3">
      <c r="A60" t="s">
        <v>134</v>
      </c>
      <c r="B60" t="s">
        <v>266</v>
      </c>
      <c r="C60" t="s">
        <v>327</v>
      </c>
      <c r="D60" t="s">
        <v>328</v>
      </c>
      <c r="E60" t="s">
        <v>283</v>
      </c>
      <c r="F60" t="s">
        <v>274</v>
      </c>
      <c r="G60" t="s">
        <v>241</v>
      </c>
      <c r="H60" t="s">
        <v>236</v>
      </c>
      <c r="I60" t="s">
        <v>299</v>
      </c>
      <c r="J60" t="s">
        <v>329</v>
      </c>
      <c r="K60" t="s">
        <v>330</v>
      </c>
      <c r="L60" t="s">
        <v>331</v>
      </c>
    </row>
    <row r="61" spans="1:12" x14ac:dyDescent="0.3">
      <c r="A61" t="s">
        <v>18</v>
      </c>
      <c r="B61" t="s">
        <v>272</v>
      </c>
      <c r="C61" t="s">
        <v>332</v>
      </c>
      <c r="D61" t="s">
        <v>333</v>
      </c>
      <c r="E61" t="s">
        <v>292</v>
      </c>
      <c r="F61" t="s">
        <v>299</v>
      </c>
      <c r="G61" t="s">
        <v>268</v>
      </c>
      <c r="H61" t="s">
        <v>242</v>
      </c>
      <c r="I61" t="s">
        <v>304</v>
      </c>
      <c r="J61" t="s">
        <v>334</v>
      </c>
      <c r="K61" t="s">
        <v>335</v>
      </c>
      <c r="L61" t="s">
        <v>336</v>
      </c>
    </row>
    <row r="62" spans="1:12" x14ac:dyDescent="0.3">
      <c r="A62" t="s">
        <v>156</v>
      </c>
      <c r="B62" t="s">
        <v>132</v>
      </c>
      <c r="C62" t="s">
        <v>176</v>
      </c>
      <c r="D62" t="s">
        <v>337</v>
      </c>
      <c r="E62" t="s">
        <v>140</v>
      </c>
      <c r="F62" t="s">
        <v>72</v>
      </c>
      <c r="G62" t="s">
        <v>114</v>
      </c>
      <c r="H62" t="s">
        <v>98</v>
      </c>
      <c r="I62" t="s">
        <v>104</v>
      </c>
      <c r="J62" t="s">
        <v>112</v>
      </c>
      <c r="K62" t="s">
        <v>135</v>
      </c>
      <c r="L62" t="s">
        <v>338</v>
      </c>
    </row>
    <row r="63" spans="1:12" x14ac:dyDescent="0.3">
      <c r="A63" t="s">
        <v>141</v>
      </c>
      <c r="B63" t="s">
        <v>128</v>
      </c>
      <c r="C63" t="s">
        <v>172</v>
      </c>
      <c r="D63" t="s">
        <v>339</v>
      </c>
      <c r="E63" t="s">
        <v>148</v>
      </c>
      <c r="F63" t="s">
        <v>66</v>
      </c>
      <c r="G63" t="s">
        <v>50</v>
      </c>
      <c r="H63" t="s">
        <v>13</v>
      </c>
      <c r="I63" t="s">
        <v>82</v>
      </c>
      <c r="J63" t="s">
        <v>121</v>
      </c>
      <c r="K63" t="s">
        <v>16</v>
      </c>
      <c r="L63" t="s">
        <v>340</v>
      </c>
    </row>
    <row r="64" spans="1:12" x14ac:dyDescent="0.3">
      <c r="A64" t="s">
        <v>42</v>
      </c>
      <c r="B64" t="s">
        <v>283</v>
      </c>
      <c r="C64" t="s">
        <v>341</v>
      </c>
      <c r="D64" t="s">
        <v>342</v>
      </c>
      <c r="E64" t="s">
        <v>302</v>
      </c>
      <c r="F64" t="s">
        <v>294</v>
      </c>
      <c r="G64" t="s">
        <v>262</v>
      </c>
      <c r="H64" t="s">
        <v>254</v>
      </c>
      <c r="I64" t="s">
        <v>314</v>
      </c>
      <c r="J64" t="s">
        <v>343</v>
      </c>
      <c r="K64" t="s">
        <v>344</v>
      </c>
      <c r="L64" t="s">
        <v>345</v>
      </c>
    </row>
    <row r="65" spans="1:12" x14ac:dyDescent="0.3">
      <c r="A65" t="s">
        <v>149</v>
      </c>
      <c r="B65" t="s">
        <v>155</v>
      </c>
      <c r="C65" t="s">
        <v>197</v>
      </c>
      <c r="D65" t="s">
        <v>346</v>
      </c>
      <c r="E65" t="s">
        <v>144</v>
      </c>
      <c r="F65" t="s">
        <v>104</v>
      </c>
      <c r="G65" t="s">
        <v>133</v>
      </c>
      <c r="H65" t="s">
        <v>116</v>
      </c>
      <c r="I65" t="s">
        <v>94</v>
      </c>
      <c r="J65" t="s">
        <v>131</v>
      </c>
      <c r="K65" t="s">
        <v>157</v>
      </c>
      <c r="L65" t="s">
        <v>347</v>
      </c>
    </row>
    <row r="66" spans="1:12" x14ac:dyDescent="0.3">
      <c r="A66" t="s">
        <v>30</v>
      </c>
      <c r="B66" t="s">
        <v>140</v>
      </c>
      <c r="C66" t="s">
        <v>182</v>
      </c>
      <c r="D66" t="s">
        <v>348</v>
      </c>
      <c r="E66" t="s">
        <v>162</v>
      </c>
      <c r="F66" t="s">
        <v>82</v>
      </c>
      <c r="G66" t="s">
        <v>58</v>
      </c>
      <c r="H66" t="s">
        <v>37</v>
      </c>
      <c r="I66" t="s">
        <v>88</v>
      </c>
      <c r="J66" t="s">
        <v>127</v>
      </c>
      <c r="K66" t="s">
        <v>40</v>
      </c>
      <c r="L66" t="s">
        <v>349</v>
      </c>
    </row>
    <row r="67" spans="1:12" x14ac:dyDescent="0.3">
      <c r="A67" t="s">
        <v>163</v>
      </c>
      <c r="B67" t="s">
        <v>292</v>
      </c>
      <c r="C67" t="s">
        <v>350</v>
      </c>
      <c r="D67" t="s">
        <v>351</v>
      </c>
      <c r="E67" t="s">
        <v>327</v>
      </c>
      <c r="F67" t="s">
        <v>314</v>
      </c>
      <c r="G67" t="s">
        <v>285</v>
      </c>
      <c r="H67" t="s">
        <v>263</v>
      </c>
      <c r="I67" t="s">
        <v>324</v>
      </c>
      <c r="J67" t="s">
        <v>352</v>
      </c>
      <c r="K67" t="s">
        <v>353</v>
      </c>
      <c r="L67" t="s">
        <v>354</v>
      </c>
    </row>
    <row r="68" spans="1:12" x14ac:dyDescent="0.3">
      <c r="A68" t="s">
        <v>355</v>
      </c>
      <c r="B68" t="s">
        <v>297</v>
      </c>
      <c r="C68" t="s">
        <v>356</v>
      </c>
      <c r="D68" t="s">
        <v>357</v>
      </c>
      <c r="E68" t="s">
        <v>312</v>
      </c>
      <c r="F68" t="s">
        <v>304</v>
      </c>
      <c r="G68" t="s">
        <v>274</v>
      </c>
      <c r="H68" t="s">
        <v>269</v>
      </c>
      <c r="I68" t="s">
        <v>329</v>
      </c>
      <c r="J68" t="s">
        <v>358</v>
      </c>
      <c r="K68" t="s">
        <v>359</v>
      </c>
      <c r="L68" t="s">
        <v>360</v>
      </c>
    </row>
    <row r="69" spans="1:12" x14ac:dyDescent="0.3">
      <c r="A69" t="s">
        <v>169</v>
      </c>
      <c r="B69" t="s">
        <v>302</v>
      </c>
      <c r="C69" t="s">
        <v>361</v>
      </c>
      <c r="D69" t="s">
        <v>362</v>
      </c>
      <c r="E69" t="s">
        <v>322</v>
      </c>
      <c r="F69" t="s">
        <v>329</v>
      </c>
      <c r="G69" t="s">
        <v>299</v>
      </c>
      <c r="H69" t="s">
        <v>275</v>
      </c>
      <c r="I69" t="s">
        <v>334</v>
      </c>
      <c r="J69" t="s">
        <v>363</v>
      </c>
      <c r="K69" t="s">
        <v>364</v>
      </c>
      <c r="L69" t="s">
        <v>365</v>
      </c>
    </row>
    <row r="70" spans="1:12" x14ac:dyDescent="0.3">
      <c r="A70" t="s">
        <v>177</v>
      </c>
      <c r="B70" t="s">
        <v>148</v>
      </c>
      <c r="C70" t="s">
        <v>190</v>
      </c>
      <c r="D70" t="s">
        <v>366</v>
      </c>
      <c r="E70" t="s">
        <v>168</v>
      </c>
      <c r="F70" t="s">
        <v>94</v>
      </c>
      <c r="G70" t="s">
        <v>72</v>
      </c>
      <c r="H70" t="s">
        <v>78</v>
      </c>
      <c r="I70" t="s">
        <v>112</v>
      </c>
      <c r="J70" t="s">
        <v>154</v>
      </c>
      <c r="K70" t="s">
        <v>150</v>
      </c>
      <c r="L70" t="s">
        <v>367</v>
      </c>
    </row>
    <row r="71" spans="1:12" x14ac:dyDescent="0.3">
      <c r="A71" t="s">
        <v>22</v>
      </c>
      <c r="B71" t="s">
        <v>144</v>
      </c>
      <c r="C71" t="s">
        <v>186</v>
      </c>
      <c r="D71" t="s">
        <v>368</v>
      </c>
      <c r="E71" t="s">
        <v>176</v>
      </c>
      <c r="F71" t="s">
        <v>88</v>
      </c>
      <c r="G71" t="s">
        <v>66</v>
      </c>
      <c r="H71" t="s">
        <v>25</v>
      </c>
      <c r="I71" t="s">
        <v>121</v>
      </c>
      <c r="J71" t="s">
        <v>139</v>
      </c>
      <c r="K71" t="s">
        <v>28</v>
      </c>
      <c r="L71" t="s">
        <v>369</v>
      </c>
    </row>
    <row r="72" spans="1:12" x14ac:dyDescent="0.3">
      <c r="A72" t="s">
        <v>46</v>
      </c>
      <c r="B72" t="s">
        <v>312</v>
      </c>
      <c r="C72" t="s">
        <v>370</v>
      </c>
      <c r="D72" t="s">
        <v>371</v>
      </c>
      <c r="E72" t="s">
        <v>332</v>
      </c>
      <c r="F72" t="s">
        <v>324</v>
      </c>
      <c r="G72" t="s">
        <v>294</v>
      </c>
      <c r="H72" t="s">
        <v>286</v>
      </c>
      <c r="I72" t="s">
        <v>343</v>
      </c>
      <c r="J72" t="s">
        <v>372</v>
      </c>
      <c r="K72" t="s">
        <v>373</v>
      </c>
      <c r="L72" t="s">
        <v>374</v>
      </c>
    </row>
    <row r="73" spans="1:12" x14ac:dyDescent="0.3">
      <c r="A73" t="s">
        <v>34</v>
      </c>
      <c r="B73" t="s">
        <v>162</v>
      </c>
      <c r="C73" t="s">
        <v>203</v>
      </c>
      <c r="D73" t="s">
        <v>375</v>
      </c>
      <c r="E73" t="s">
        <v>172</v>
      </c>
      <c r="F73" t="s">
        <v>112</v>
      </c>
      <c r="G73" t="s">
        <v>104</v>
      </c>
      <c r="H73" t="s">
        <v>108</v>
      </c>
      <c r="I73" t="s">
        <v>131</v>
      </c>
      <c r="J73" t="s">
        <v>147</v>
      </c>
      <c r="K73" t="s">
        <v>164</v>
      </c>
      <c r="L73" t="s">
        <v>376</v>
      </c>
    </row>
    <row r="74" spans="1:12" x14ac:dyDescent="0.3">
      <c r="A74" t="s">
        <v>377</v>
      </c>
      <c r="B74" t="s">
        <v>168</v>
      </c>
      <c r="C74" t="s">
        <v>209</v>
      </c>
      <c r="D74" t="s">
        <v>378</v>
      </c>
      <c r="E74" t="s">
        <v>197</v>
      </c>
      <c r="F74" t="s">
        <v>121</v>
      </c>
      <c r="G74" t="s">
        <v>82</v>
      </c>
      <c r="H74" t="s">
        <v>85</v>
      </c>
      <c r="I74" t="s">
        <v>127</v>
      </c>
      <c r="J74" t="s">
        <v>15</v>
      </c>
      <c r="K74" t="s">
        <v>103</v>
      </c>
      <c r="L74" t="s">
        <v>379</v>
      </c>
    </row>
    <row r="75" spans="1:12" x14ac:dyDescent="0.3">
      <c r="A75" t="s">
        <v>191</v>
      </c>
      <c r="B75" t="s">
        <v>322</v>
      </c>
      <c r="C75" t="s">
        <v>380</v>
      </c>
      <c r="D75" t="s">
        <v>381</v>
      </c>
      <c r="E75" t="s">
        <v>356</v>
      </c>
      <c r="F75" t="s">
        <v>343</v>
      </c>
      <c r="G75" t="s">
        <v>314</v>
      </c>
      <c r="H75" t="s">
        <v>295</v>
      </c>
      <c r="I75" t="s">
        <v>352</v>
      </c>
      <c r="J75" t="s">
        <v>382</v>
      </c>
      <c r="K75" t="s">
        <v>383</v>
      </c>
      <c r="L75" t="s">
        <v>384</v>
      </c>
    </row>
    <row r="76" spans="1:12" x14ac:dyDescent="0.3">
      <c r="A76" t="s">
        <v>55</v>
      </c>
      <c r="B76" t="s">
        <v>327</v>
      </c>
      <c r="C76" t="s">
        <v>385</v>
      </c>
      <c r="D76" t="s">
        <v>386</v>
      </c>
      <c r="E76" t="s">
        <v>341</v>
      </c>
      <c r="F76" t="s">
        <v>334</v>
      </c>
      <c r="G76" t="s">
        <v>304</v>
      </c>
      <c r="H76" t="s">
        <v>300</v>
      </c>
      <c r="I76" t="s">
        <v>358</v>
      </c>
      <c r="J76" t="s">
        <v>387</v>
      </c>
      <c r="K76" t="s">
        <v>388</v>
      </c>
      <c r="L76" t="s">
        <v>389</v>
      </c>
    </row>
    <row r="77" spans="1:12" x14ac:dyDescent="0.3">
      <c r="A77" t="s">
        <v>204</v>
      </c>
      <c r="B77" t="s">
        <v>332</v>
      </c>
      <c r="C77" t="s">
        <v>390</v>
      </c>
      <c r="D77" t="s">
        <v>391</v>
      </c>
      <c r="E77" t="s">
        <v>350</v>
      </c>
      <c r="F77" t="s">
        <v>358</v>
      </c>
      <c r="G77" t="s">
        <v>329</v>
      </c>
      <c r="H77" t="s">
        <v>305</v>
      </c>
      <c r="I77" t="s">
        <v>363</v>
      </c>
      <c r="J77" t="s">
        <v>392</v>
      </c>
      <c r="K77" t="s">
        <v>393</v>
      </c>
      <c r="L77" t="s">
        <v>394</v>
      </c>
    </row>
    <row r="78" spans="1:12" x14ac:dyDescent="0.3">
      <c r="A78" t="s">
        <v>395</v>
      </c>
      <c r="B78" t="s">
        <v>176</v>
      </c>
      <c r="C78" t="s">
        <v>216</v>
      </c>
      <c r="D78" t="s">
        <v>396</v>
      </c>
      <c r="E78" t="s">
        <v>182</v>
      </c>
      <c r="F78" t="s">
        <v>131</v>
      </c>
      <c r="G78" t="s">
        <v>94</v>
      </c>
      <c r="H78" t="s">
        <v>99</v>
      </c>
      <c r="I78" t="s">
        <v>154</v>
      </c>
      <c r="J78" t="s">
        <v>161</v>
      </c>
      <c r="K78" t="s">
        <v>178</v>
      </c>
      <c r="L78" t="s">
        <v>397</v>
      </c>
    </row>
    <row r="79" spans="1:12" x14ac:dyDescent="0.3">
      <c r="A79" t="s">
        <v>63</v>
      </c>
      <c r="B79" t="s">
        <v>172</v>
      </c>
      <c r="C79" t="s">
        <v>212</v>
      </c>
      <c r="D79" t="s">
        <v>398</v>
      </c>
      <c r="E79" t="s">
        <v>190</v>
      </c>
      <c r="F79" t="s">
        <v>127</v>
      </c>
      <c r="G79" t="s">
        <v>88</v>
      </c>
      <c r="H79" t="s">
        <v>49</v>
      </c>
      <c r="I79" t="s">
        <v>139</v>
      </c>
      <c r="J79" t="s">
        <v>39</v>
      </c>
      <c r="K79" t="s">
        <v>52</v>
      </c>
      <c r="L79" t="s">
        <v>399</v>
      </c>
    </row>
    <row r="80" spans="1:12" x14ac:dyDescent="0.3">
      <c r="A80" t="s">
        <v>79</v>
      </c>
      <c r="B80" t="s">
        <v>341</v>
      </c>
      <c r="C80" t="s">
        <v>400</v>
      </c>
      <c r="D80" t="s">
        <v>401</v>
      </c>
      <c r="E80" t="s">
        <v>361</v>
      </c>
      <c r="F80" t="s">
        <v>352</v>
      </c>
      <c r="G80" t="s">
        <v>324</v>
      </c>
      <c r="H80" t="s">
        <v>315</v>
      </c>
      <c r="I80" t="s">
        <v>372</v>
      </c>
      <c r="J80" t="s">
        <v>402</v>
      </c>
      <c r="K80" t="s">
        <v>403</v>
      </c>
      <c r="L80" t="s">
        <v>404</v>
      </c>
    </row>
    <row r="81" spans="1:12" x14ac:dyDescent="0.3">
      <c r="A81" t="s">
        <v>17</v>
      </c>
      <c r="B81" t="s">
        <v>197</v>
      </c>
      <c r="C81" t="s">
        <v>234</v>
      </c>
      <c r="D81" t="s">
        <v>405</v>
      </c>
      <c r="E81" t="s">
        <v>186</v>
      </c>
      <c r="F81" t="s">
        <v>154</v>
      </c>
      <c r="G81" t="s">
        <v>112</v>
      </c>
      <c r="H81" t="s">
        <v>117</v>
      </c>
      <c r="I81" t="s">
        <v>147</v>
      </c>
      <c r="J81" t="s">
        <v>175</v>
      </c>
      <c r="K81" t="s">
        <v>198</v>
      </c>
      <c r="L81" t="s">
        <v>406</v>
      </c>
    </row>
    <row r="82" spans="1:12" x14ac:dyDescent="0.3">
      <c r="A82" t="s">
        <v>109</v>
      </c>
      <c r="B82" t="s">
        <v>182</v>
      </c>
      <c r="C82" t="s">
        <v>221</v>
      </c>
      <c r="D82" t="s">
        <v>407</v>
      </c>
      <c r="E82" t="s">
        <v>203</v>
      </c>
      <c r="F82" t="s">
        <v>139</v>
      </c>
      <c r="G82" t="s">
        <v>121</v>
      </c>
      <c r="H82" t="s">
        <v>124</v>
      </c>
      <c r="I82" t="s">
        <v>15</v>
      </c>
      <c r="J82" t="s">
        <v>27</v>
      </c>
      <c r="K82" t="s">
        <v>93</v>
      </c>
      <c r="L82" t="s">
        <v>408</v>
      </c>
    </row>
    <row r="83" spans="1:12" x14ac:dyDescent="0.3">
      <c r="A83" t="s">
        <v>41</v>
      </c>
      <c r="B83" t="s">
        <v>350</v>
      </c>
      <c r="C83" t="s">
        <v>409</v>
      </c>
      <c r="D83" t="s">
        <v>410</v>
      </c>
      <c r="E83" t="s">
        <v>385</v>
      </c>
      <c r="F83" t="s">
        <v>372</v>
      </c>
      <c r="G83" t="s">
        <v>343</v>
      </c>
      <c r="H83" t="s">
        <v>325</v>
      </c>
      <c r="I83" t="s">
        <v>382</v>
      </c>
      <c r="J83" t="s">
        <v>411</v>
      </c>
      <c r="K83" t="s">
        <v>412</v>
      </c>
      <c r="L83" t="s">
        <v>413</v>
      </c>
    </row>
    <row r="84" spans="1:12" x14ac:dyDescent="0.3">
      <c r="A84" t="s">
        <v>414</v>
      </c>
      <c r="B84" t="s">
        <v>356</v>
      </c>
      <c r="C84" t="s">
        <v>415</v>
      </c>
      <c r="D84" t="s">
        <v>416</v>
      </c>
      <c r="E84" t="s">
        <v>370</v>
      </c>
      <c r="F84" t="s">
        <v>363</v>
      </c>
      <c r="G84" t="s">
        <v>334</v>
      </c>
      <c r="H84" t="s">
        <v>330</v>
      </c>
      <c r="I84" t="s">
        <v>387</v>
      </c>
      <c r="J84" t="s">
        <v>417</v>
      </c>
      <c r="K84" t="s">
        <v>418</v>
      </c>
      <c r="L84" t="s">
        <v>419</v>
      </c>
    </row>
    <row r="85" spans="1:12" x14ac:dyDescent="0.3">
      <c r="A85" t="s">
        <v>100</v>
      </c>
      <c r="B85" t="s">
        <v>361</v>
      </c>
      <c r="C85" t="s">
        <v>420</v>
      </c>
      <c r="D85" t="s">
        <v>421</v>
      </c>
      <c r="E85" t="s">
        <v>380</v>
      </c>
      <c r="F85" t="s">
        <v>387</v>
      </c>
      <c r="G85" t="s">
        <v>358</v>
      </c>
      <c r="H85" t="s">
        <v>335</v>
      </c>
      <c r="I85" t="s">
        <v>392</v>
      </c>
      <c r="J85" t="s">
        <v>422</v>
      </c>
      <c r="K85" t="s">
        <v>423</v>
      </c>
      <c r="L85" t="s">
        <v>424</v>
      </c>
    </row>
    <row r="86" spans="1:12" x14ac:dyDescent="0.3">
      <c r="A86" t="s">
        <v>29</v>
      </c>
      <c r="B86" t="s">
        <v>190</v>
      </c>
      <c r="C86" t="s">
        <v>228</v>
      </c>
      <c r="D86" t="s">
        <v>425</v>
      </c>
      <c r="E86" t="s">
        <v>209</v>
      </c>
      <c r="F86" t="s">
        <v>147</v>
      </c>
      <c r="G86" t="s">
        <v>131</v>
      </c>
      <c r="H86" t="s">
        <v>135</v>
      </c>
      <c r="I86" t="s">
        <v>161</v>
      </c>
      <c r="J86" t="s">
        <v>196</v>
      </c>
      <c r="K86" t="s">
        <v>192</v>
      </c>
      <c r="L86" t="s">
        <v>426</v>
      </c>
    </row>
    <row r="87" spans="1:12" x14ac:dyDescent="0.3">
      <c r="A87" t="s">
        <v>118</v>
      </c>
      <c r="B87" t="s">
        <v>186</v>
      </c>
      <c r="C87" t="s">
        <v>224</v>
      </c>
      <c r="D87" t="s">
        <v>427</v>
      </c>
      <c r="E87" t="s">
        <v>216</v>
      </c>
      <c r="F87" t="s">
        <v>15</v>
      </c>
      <c r="G87" t="s">
        <v>127</v>
      </c>
      <c r="H87" t="s">
        <v>16</v>
      </c>
      <c r="I87" t="s">
        <v>39</v>
      </c>
      <c r="J87" t="s">
        <v>51</v>
      </c>
      <c r="K87" t="s">
        <v>60</v>
      </c>
      <c r="L87" t="s">
        <v>428</v>
      </c>
    </row>
    <row r="88" spans="1:12" x14ac:dyDescent="0.3">
      <c r="A88" t="s">
        <v>429</v>
      </c>
      <c r="B88" t="s">
        <v>370</v>
      </c>
      <c r="C88" t="s">
        <v>430</v>
      </c>
      <c r="D88" t="s">
        <v>431</v>
      </c>
      <c r="E88" t="s">
        <v>390</v>
      </c>
      <c r="F88" t="s">
        <v>382</v>
      </c>
      <c r="G88" t="s">
        <v>352</v>
      </c>
      <c r="H88" t="s">
        <v>344</v>
      </c>
      <c r="I88" t="s">
        <v>402</v>
      </c>
      <c r="J88" t="s">
        <v>432</v>
      </c>
      <c r="K88" t="s">
        <v>433</v>
      </c>
      <c r="L88" t="s">
        <v>434</v>
      </c>
    </row>
    <row r="89" spans="1:12" x14ac:dyDescent="0.3">
      <c r="A89" t="s">
        <v>96</v>
      </c>
      <c r="B89" t="s">
        <v>203</v>
      </c>
      <c r="C89" t="s">
        <v>240</v>
      </c>
      <c r="D89" t="s">
        <v>435</v>
      </c>
      <c r="E89" t="s">
        <v>212</v>
      </c>
      <c r="F89" t="s">
        <v>161</v>
      </c>
      <c r="G89" t="s">
        <v>154</v>
      </c>
      <c r="H89" t="s">
        <v>157</v>
      </c>
      <c r="I89" t="s">
        <v>175</v>
      </c>
      <c r="J89" t="s">
        <v>189</v>
      </c>
      <c r="K89" t="s">
        <v>205</v>
      </c>
      <c r="L89" t="s">
        <v>436</v>
      </c>
    </row>
    <row r="90" spans="1:12" x14ac:dyDescent="0.3">
      <c r="A90" t="s">
        <v>136</v>
      </c>
      <c r="B90" t="s">
        <v>209</v>
      </c>
      <c r="C90" t="s">
        <v>245</v>
      </c>
      <c r="D90" t="s">
        <v>437</v>
      </c>
      <c r="E90" t="s">
        <v>234</v>
      </c>
      <c r="F90" t="s">
        <v>39</v>
      </c>
      <c r="G90" t="s">
        <v>139</v>
      </c>
      <c r="H90" t="s">
        <v>40</v>
      </c>
      <c r="I90" t="s">
        <v>27</v>
      </c>
      <c r="J90" t="s">
        <v>185</v>
      </c>
      <c r="K90" t="s">
        <v>74</v>
      </c>
      <c r="L90" t="s">
        <v>438</v>
      </c>
    </row>
    <row r="91" spans="1:12" x14ac:dyDescent="0.3">
      <c r="A91" t="s">
        <v>20</v>
      </c>
      <c r="B91" t="s">
        <v>380</v>
      </c>
      <c r="C91" t="s">
        <v>439</v>
      </c>
      <c r="D91" t="s">
        <v>440</v>
      </c>
      <c r="E91" t="s">
        <v>415</v>
      </c>
      <c r="F91" t="s">
        <v>402</v>
      </c>
      <c r="G91" t="s">
        <v>372</v>
      </c>
      <c r="H91" t="s">
        <v>353</v>
      </c>
      <c r="I91" t="s">
        <v>411</v>
      </c>
      <c r="J91" t="s">
        <v>441</v>
      </c>
      <c r="K91" t="s">
        <v>442</v>
      </c>
      <c r="L91" t="s">
        <v>443</v>
      </c>
    </row>
    <row r="92" spans="1:12" x14ac:dyDescent="0.3">
      <c r="A92" t="s">
        <v>158</v>
      </c>
      <c r="B92" t="s">
        <v>385</v>
      </c>
      <c r="C92" t="s">
        <v>444</v>
      </c>
      <c r="D92" t="s">
        <v>445</v>
      </c>
      <c r="E92" t="s">
        <v>400</v>
      </c>
      <c r="F92" t="s">
        <v>392</v>
      </c>
      <c r="G92" t="s">
        <v>363</v>
      </c>
      <c r="H92" t="s">
        <v>359</v>
      </c>
      <c r="I92" t="s">
        <v>417</v>
      </c>
      <c r="J92" t="s">
        <v>446</v>
      </c>
      <c r="K92" t="s">
        <v>447</v>
      </c>
      <c r="L92" t="s">
        <v>448</v>
      </c>
    </row>
    <row r="93" spans="1:12" x14ac:dyDescent="0.3">
      <c r="A93" t="s">
        <v>44</v>
      </c>
      <c r="B93" t="s">
        <v>390</v>
      </c>
      <c r="C93" t="s">
        <v>449</v>
      </c>
      <c r="D93" t="s">
        <v>450</v>
      </c>
      <c r="E93" t="s">
        <v>409</v>
      </c>
      <c r="F93" t="s">
        <v>417</v>
      </c>
      <c r="G93" t="s">
        <v>387</v>
      </c>
      <c r="H93" t="s">
        <v>364</v>
      </c>
      <c r="I93" t="s">
        <v>422</v>
      </c>
      <c r="J93" t="s">
        <v>451</v>
      </c>
      <c r="K93" t="s">
        <v>452</v>
      </c>
      <c r="L93" t="s">
        <v>453</v>
      </c>
    </row>
    <row r="94" spans="1:12" x14ac:dyDescent="0.3">
      <c r="A94" t="s">
        <v>454</v>
      </c>
      <c r="B94" t="s">
        <v>216</v>
      </c>
      <c r="C94" t="s">
        <v>252</v>
      </c>
      <c r="D94" t="s">
        <v>455</v>
      </c>
      <c r="E94" t="s">
        <v>221</v>
      </c>
      <c r="F94" t="s">
        <v>175</v>
      </c>
      <c r="G94" t="s">
        <v>147</v>
      </c>
      <c r="H94" t="s">
        <v>150</v>
      </c>
      <c r="I94" t="s">
        <v>196</v>
      </c>
      <c r="J94" t="s">
        <v>202</v>
      </c>
      <c r="K94" t="s">
        <v>217</v>
      </c>
      <c r="L94" t="s">
        <v>456</v>
      </c>
    </row>
    <row r="95" spans="1:12" x14ac:dyDescent="0.3">
      <c r="A95" t="s">
        <v>151</v>
      </c>
      <c r="B95" t="s">
        <v>212</v>
      </c>
      <c r="C95" t="s">
        <v>248</v>
      </c>
      <c r="D95" t="s">
        <v>457</v>
      </c>
      <c r="E95" t="s">
        <v>228</v>
      </c>
      <c r="F95" t="s">
        <v>27</v>
      </c>
      <c r="G95" t="s">
        <v>15</v>
      </c>
      <c r="H95" t="s">
        <v>28</v>
      </c>
      <c r="I95" t="s">
        <v>51</v>
      </c>
      <c r="J95" t="s">
        <v>59</v>
      </c>
      <c r="K95" t="s">
        <v>68</v>
      </c>
      <c r="L95" t="s">
        <v>458</v>
      </c>
    </row>
    <row r="96" spans="1:12" x14ac:dyDescent="0.3">
      <c r="A96" t="s">
        <v>32</v>
      </c>
      <c r="B96" t="s">
        <v>400</v>
      </c>
      <c r="C96" t="s">
        <v>459</v>
      </c>
      <c r="D96" t="s">
        <v>460</v>
      </c>
      <c r="E96" t="s">
        <v>420</v>
      </c>
      <c r="F96" t="s">
        <v>411</v>
      </c>
      <c r="G96" t="s">
        <v>382</v>
      </c>
      <c r="H96" t="s">
        <v>373</v>
      </c>
      <c r="I96" t="s">
        <v>432</v>
      </c>
      <c r="J96" t="s">
        <v>461</v>
      </c>
      <c r="K96" t="s">
        <v>462</v>
      </c>
      <c r="L96" t="s">
        <v>463</v>
      </c>
    </row>
    <row r="97" spans="1:12" x14ac:dyDescent="0.3">
      <c r="A97" t="s">
        <v>165</v>
      </c>
      <c r="B97" t="s">
        <v>234</v>
      </c>
      <c r="C97" t="s">
        <v>267</v>
      </c>
      <c r="D97" t="s">
        <v>464</v>
      </c>
      <c r="E97" t="s">
        <v>224</v>
      </c>
      <c r="F97" t="s">
        <v>196</v>
      </c>
      <c r="G97" t="s">
        <v>161</v>
      </c>
      <c r="H97" t="s">
        <v>164</v>
      </c>
      <c r="I97" t="s">
        <v>189</v>
      </c>
      <c r="J97" t="s">
        <v>215</v>
      </c>
      <c r="K97" t="s">
        <v>235</v>
      </c>
      <c r="L97" t="s">
        <v>465</v>
      </c>
    </row>
    <row r="98" spans="1:12" x14ac:dyDescent="0.3">
      <c r="A98" t="s">
        <v>466</v>
      </c>
      <c r="B98" t="s">
        <v>221</v>
      </c>
      <c r="C98" t="s">
        <v>256</v>
      </c>
      <c r="D98" t="s">
        <v>467</v>
      </c>
      <c r="E98" t="s">
        <v>240</v>
      </c>
      <c r="F98" t="s">
        <v>51</v>
      </c>
      <c r="G98" t="s">
        <v>39</v>
      </c>
      <c r="H98" t="s">
        <v>103</v>
      </c>
      <c r="I98" t="s">
        <v>185</v>
      </c>
      <c r="J98" t="s">
        <v>73</v>
      </c>
      <c r="K98" t="s">
        <v>105</v>
      </c>
      <c r="L98" t="s">
        <v>468</v>
      </c>
    </row>
    <row r="99" spans="1:12" x14ac:dyDescent="0.3">
      <c r="A99" t="s">
        <v>75</v>
      </c>
      <c r="B99" t="s">
        <v>409</v>
      </c>
      <c r="C99" t="s">
        <v>469</v>
      </c>
      <c r="D99" t="s">
        <v>470</v>
      </c>
      <c r="E99" t="s">
        <v>444</v>
      </c>
      <c r="F99" t="s">
        <v>432</v>
      </c>
      <c r="G99" t="s">
        <v>402</v>
      </c>
      <c r="H99" t="s">
        <v>383</v>
      </c>
      <c r="I99" t="s">
        <v>441</v>
      </c>
      <c r="J99" t="s">
        <v>471</v>
      </c>
      <c r="K99" t="s">
        <v>472</v>
      </c>
      <c r="L99" t="s">
        <v>473</v>
      </c>
    </row>
    <row r="100" spans="1:12" x14ac:dyDescent="0.3">
      <c r="A100" t="s">
        <v>179</v>
      </c>
      <c r="B100" t="s">
        <v>415</v>
      </c>
      <c r="C100" t="s">
        <v>474</v>
      </c>
      <c r="D100" t="s">
        <v>475</v>
      </c>
      <c r="E100" t="s">
        <v>430</v>
      </c>
      <c r="F100" t="s">
        <v>422</v>
      </c>
      <c r="G100" t="s">
        <v>392</v>
      </c>
      <c r="H100" t="s">
        <v>388</v>
      </c>
      <c r="I100" t="s">
        <v>446</v>
      </c>
      <c r="J100" t="s">
        <v>476</v>
      </c>
      <c r="K100" t="s">
        <v>477</v>
      </c>
      <c r="L100" t="s">
        <v>478</v>
      </c>
    </row>
    <row r="101" spans="1:12" x14ac:dyDescent="0.3">
      <c r="A101" t="s">
        <v>54</v>
      </c>
      <c r="B101" t="s">
        <v>420</v>
      </c>
      <c r="C101" t="s">
        <v>479</v>
      </c>
      <c r="D101" t="s">
        <v>480</v>
      </c>
      <c r="E101" t="s">
        <v>439</v>
      </c>
      <c r="F101" t="s">
        <v>446</v>
      </c>
      <c r="G101" t="s">
        <v>417</v>
      </c>
      <c r="H101" t="s">
        <v>393</v>
      </c>
      <c r="I101" t="s">
        <v>451</v>
      </c>
      <c r="J101" t="s">
        <v>481</v>
      </c>
      <c r="K101" t="s">
        <v>482</v>
      </c>
      <c r="L101" t="s">
        <v>483</v>
      </c>
    </row>
    <row r="102" spans="1:12" x14ac:dyDescent="0.3">
      <c r="A102" t="s">
        <v>199</v>
      </c>
      <c r="B102" t="s">
        <v>228</v>
      </c>
      <c r="C102" t="s">
        <v>261</v>
      </c>
      <c r="D102" t="s">
        <v>484</v>
      </c>
      <c r="E102" t="s">
        <v>245</v>
      </c>
      <c r="F102" t="s">
        <v>189</v>
      </c>
      <c r="G102" t="s">
        <v>175</v>
      </c>
      <c r="H102" t="s">
        <v>178</v>
      </c>
      <c r="I102" t="s">
        <v>202</v>
      </c>
      <c r="J102" t="s">
        <v>233</v>
      </c>
      <c r="K102" t="s">
        <v>229</v>
      </c>
      <c r="L102" t="s">
        <v>485</v>
      </c>
    </row>
    <row r="103" spans="1:12" x14ac:dyDescent="0.3">
      <c r="A103" t="s">
        <v>106</v>
      </c>
      <c r="B103" t="s">
        <v>224</v>
      </c>
      <c r="C103" t="s">
        <v>258</v>
      </c>
      <c r="D103" t="s">
        <v>486</v>
      </c>
      <c r="E103" t="s">
        <v>252</v>
      </c>
      <c r="F103" t="s">
        <v>185</v>
      </c>
      <c r="G103" t="s">
        <v>27</v>
      </c>
      <c r="H103" t="s">
        <v>52</v>
      </c>
      <c r="I103" t="s">
        <v>59</v>
      </c>
      <c r="J103" t="s">
        <v>67</v>
      </c>
      <c r="K103" t="s">
        <v>14</v>
      </c>
      <c r="L103" t="s">
        <v>487</v>
      </c>
    </row>
    <row r="104" spans="1:12" x14ac:dyDescent="0.3">
      <c r="A104" t="s">
        <v>488</v>
      </c>
      <c r="B104" t="s">
        <v>430</v>
      </c>
      <c r="C104" t="s">
        <v>489</v>
      </c>
      <c r="D104" t="s">
        <v>490</v>
      </c>
      <c r="E104" t="s">
        <v>449</v>
      </c>
      <c r="F104" t="s">
        <v>441</v>
      </c>
      <c r="G104" t="s">
        <v>411</v>
      </c>
      <c r="H104" t="s">
        <v>403</v>
      </c>
      <c r="I104" t="s">
        <v>461</v>
      </c>
      <c r="J104" t="s">
        <v>491</v>
      </c>
      <c r="K104" t="s">
        <v>492</v>
      </c>
      <c r="L104" t="s">
        <v>493</v>
      </c>
    </row>
    <row r="105" spans="1:12" x14ac:dyDescent="0.3">
      <c r="A105" t="s">
        <v>193</v>
      </c>
      <c r="B105" t="s">
        <v>240</v>
      </c>
      <c r="C105" t="s">
        <v>273</v>
      </c>
      <c r="D105" t="s">
        <v>494</v>
      </c>
      <c r="E105" t="s">
        <v>248</v>
      </c>
      <c r="F105" t="s">
        <v>202</v>
      </c>
      <c r="G105" t="s">
        <v>196</v>
      </c>
      <c r="H105" t="s">
        <v>198</v>
      </c>
      <c r="I105" t="s">
        <v>215</v>
      </c>
      <c r="J105" t="s">
        <v>227</v>
      </c>
      <c r="K105" t="s">
        <v>241</v>
      </c>
      <c r="L105" t="s">
        <v>495</v>
      </c>
    </row>
  </sheetData>
  <pageMargins left="0.75" right="0.75" top="1" bottom="1" header="0.5" footer="0.5"/>
  <ignoredErrors>
    <ignoredError sqref="C2:L105 A2:B1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FB16-BB27-4E3C-9D0E-009758E1CBF1}">
  <dimension ref="M1:W105"/>
  <sheetViews>
    <sheetView zoomScaleNormal="100" workbookViewId="0">
      <selection activeCell="R1" sqref="R1:R1048576"/>
    </sheetView>
  </sheetViews>
  <sheetFormatPr defaultRowHeight="14.4" x14ac:dyDescent="0.3"/>
  <cols>
    <col min="16" max="16" width="15" bestFit="1" customWidth="1"/>
    <col min="17" max="17" width="8.109375" style="2" bestFit="1" customWidth="1"/>
    <col min="18" max="18" width="8.109375" bestFit="1" customWidth="1"/>
    <col min="20" max="20" width="15.33203125" style="2" bestFit="1" customWidth="1"/>
    <col min="23" max="23" width="16.77734375" bestFit="1" customWidth="1"/>
  </cols>
  <sheetData>
    <row r="1" spans="13:23" x14ac:dyDescent="0.3">
      <c r="P1" t="s">
        <v>498</v>
      </c>
      <c r="Q1" s="2" t="s">
        <v>1</v>
      </c>
      <c r="R1" t="s">
        <v>1</v>
      </c>
      <c r="S1" t="s">
        <v>496</v>
      </c>
      <c r="T1" s="2" t="s">
        <v>497</v>
      </c>
      <c r="U1" s="1" t="s">
        <v>499</v>
      </c>
      <c r="V1" s="1" t="s">
        <v>500</v>
      </c>
      <c r="W1" t="s">
        <v>501</v>
      </c>
    </row>
    <row r="2" spans="13:23" x14ac:dyDescent="0.3">
      <c r="M2" t="s">
        <v>502</v>
      </c>
      <c r="P2" s="2">
        <f>MEDIAN(Q2:Q105)</f>
        <v>387.5</v>
      </c>
      <c r="Q2" s="2">
        <v>120</v>
      </c>
      <c r="R2" s="2">
        <f>Q2/$P$2</f>
        <v>0.30967741935483872</v>
      </c>
      <c r="S2">
        <v>0.8</v>
      </c>
      <c r="T2" s="3">
        <f>R2</f>
        <v>0.30967741935483872</v>
      </c>
      <c r="U2" s="6">
        <v>1</v>
      </c>
      <c r="V2" s="5">
        <v>2</v>
      </c>
      <c r="W2">
        <f xml:space="preserve"> (T2^$U$2) / (T2^$U$2 + $V$2^$U$2)</f>
        <v>0.13407821229050282</v>
      </c>
    </row>
    <row r="3" spans="13:23" x14ac:dyDescent="0.3">
      <c r="Q3" s="2">
        <v>130</v>
      </c>
      <c r="R3" s="2">
        <f t="shared" ref="R3:R66" si="0">Q3/$P$2</f>
        <v>0.33548387096774196</v>
      </c>
      <c r="T3" s="4">
        <f t="shared" ref="T3:T34" si="1">R3+$S$2*T2</f>
        <v>0.58322580645161293</v>
      </c>
      <c r="W3">
        <f t="shared" ref="W3:W66" si="2" xml:space="preserve"> (T3^$U$2) / (T3^$U$2 + $V$2^$U$2)</f>
        <v>0.22577422577422579</v>
      </c>
    </row>
    <row r="4" spans="13:23" x14ac:dyDescent="0.3">
      <c r="M4" t="s">
        <v>503</v>
      </c>
      <c r="Q4" s="2">
        <v>125</v>
      </c>
      <c r="R4" s="2">
        <f t="shared" si="0"/>
        <v>0.32258064516129031</v>
      </c>
      <c r="T4" s="4">
        <f t="shared" si="1"/>
        <v>0.78916129032258064</v>
      </c>
      <c r="W4">
        <f t="shared" si="2"/>
        <v>0.28293856402664691</v>
      </c>
    </row>
    <row r="5" spans="13:23" x14ac:dyDescent="0.3">
      <c r="Q5" s="2">
        <v>140</v>
      </c>
      <c r="R5" s="2">
        <f t="shared" si="0"/>
        <v>0.36129032258064514</v>
      </c>
      <c r="T5" s="4">
        <f t="shared" si="1"/>
        <v>0.99261935483870967</v>
      </c>
      <c r="W5">
        <f t="shared" si="2"/>
        <v>0.3316891449070401</v>
      </c>
    </row>
    <row r="6" spans="13:23" x14ac:dyDescent="0.3">
      <c r="Q6" s="2">
        <v>150</v>
      </c>
      <c r="R6" s="2">
        <f t="shared" si="0"/>
        <v>0.38709677419354838</v>
      </c>
      <c r="T6" s="4">
        <f t="shared" si="1"/>
        <v>1.1811922580645162</v>
      </c>
      <c r="W6">
        <f t="shared" si="2"/>
        <v>0.37130489522289067</v>
      </c>
    </row>
    <row r="7" spans="13:23" x14ac:dyDescent="0.3">
      <c r="Q7" s="2">
        <v>160</v>
      </c>
      <c r="R7" s="2">
        <f t="shared" si="0"/>
        <v>0.41290322580645161</v>
      </c>
      <c r="T7" s="4">
        <f t="shared" si="1"/>
        <v>1.3578570322580645</v>
      </c>
      <c r="W7">
        <f t="shared" si="2"/>
        <v>0.40438202675500562</v>
      </c>
    </row>
    <row r="8" spans="13:23" x14ac:dyDescent="0.3">
      <c r="Q8" s="2">
        <v>155</v>
      </c>
      <c r="R8" s="2">
        <f t="shared" si="0"/>
        <v>0.4</v>
      </c>
      <c r="T8" s="4">
        <f t="shared" si="1"/>
        <v>1.4862856258064516</v>
      </c>
      <c r="W8">
        <f t="shared" si="2"/>
        <v>0.42632353895634767</v>
      </c>
    </row>
    <row r="9" spans="13:23" x14ac:dyDescent="0.3">
      <c r="Q9" s="2">
        <v>170</v>
      </c>
      <c r="R9" s="2">
        <f t="shared" si="0"/>
        <v>0.43870967741935485</v>
      </c>
      <c r="T9" s="4">
        <f t="shared" si="1"/>
        <v>1.6277381780645162</v>
      </c>
      <c r="W9">
        <f t="shared" si="2"/>
        <v>0.44869229756072226</v>
      </c>
    </row>
    <row r="10" spans="13:23" x14ac:dyDescent="0.3">
      <c r="Q10" s="2">
        <v>180</v>
      </c>
      <c r="R10" s="2">
        <f t="shared" si="0"/>
        <v>0.46451612903225808</v>
      </c>
      <c r="T10" s="4">
        <f t="shared" si="1"/>
        <v>1.7667066714838711</v>
      </c>
      <c r="W10">
        <f t="shared" si="2"/>
        <v>0.46903218794785728</v>
      </c>
    </row>
    <row r="11" spans="13:23" x14ac:dyDescent="0.3">
      <c r="Q11" s="2">
        <v>175</v>
      </c>
      <c r="R11" s="2">
        <f t="shared" si="0"/>
        <v>0.45161290322580644</v>
      </c>
      <c r="T11" s="4">
        <f t="shared" si="1"/>
        <v>1.8649782404129034</v>
      </c>
      <c r="W11">
        <f t="shared" si="2"/>
        <v>0.48253266238664877</v>
      </c>
    </row>
    <row r="12" spans="13:23" x14ac:dyDescent="0.3">
      <c r="Q12" s="2">
        <v>165</v>
      </c>
      <c r="R12" s="2">
        <f t="shared" si="0"/>
        <v>0.4258064516129032</v>
      </c>
      <c r="T12" s="4">
        <f t="shared" si="1"/>
        <v>1.9177890439432259</v>
      </c>
      <c r="W12">
        <f t="shared" si="2"/>
        <v>0.48950799096956615</v>
      </c>
    </row>
    <row r="13" spans="13:23" x14ac:dyDescent="0.3">
      <c r="Q13" s="2">
        <v>185</v>
      </c>
      <c r="R13" s="2">
        <f t="shared" si="0"/>
        <v>0.47741935483870968</v>
      </c>
      <c r="T13" s="4">
        <f t="shared" si="1"/>
        <v>2.0116505899932906</v>
      </c>
      <c r="W13">
        <f t="shared" si="2"/>
        <v>0.50145209431030102</v>
      </c>
    </row>
    <row r="14" spans="13:23" x14ac:dyDescent="0.3">
      <c r="Q14" s="2">
        <v>190</v>
      </c>
      <c r="R14" s="2">
        <f t="shared" si="0"/>
        <v>0.49032258064516127</v>
      </c>
      <c r="T14" s="4">
        <f t="shared" si="1"/>
        <v>2.0996430526397938</v>
      </c>
      <c r="W14">
        <f t="shared" si="2"/>
        <v>0.51215264979906405</v>
      </c>
    </row>
    <row r="15" spans="13:23" x14ac:dyDescent="0.3">
      <c r="Q15" s="2">
        <v>200</v>
      </c>
      <c r="R15" s="2">
        <f t="shared" si="0"/>
        <v>0.5161290322580645</v>
      </c>
      <c r="T15" s="4">
        <f t="shared" si="1"/>
        <v>2.1958434743698998</v>
      </c>
      <c r="W15">
        <f t="shared" si="2"/>
        <v>0.52333779555483895</v>
      </c>
    </row>
    <row r="16" spans="13:23" x14ac:dyDescent="0.3">
      <c r="Q16" s="2">
        <v>195</v>
      </c>
      <c r="R16" s="2">
        <f t="shared" si="0"/>
        <v>0.50322580645161286</v>
      </c>
      <c r="T16" s="4">
        <f t="shared" si="1"/>
        <v>2.2599005859475327</v>
      </c>
      <c r="W16">
        <f t="shared" si="2"/>
        <v>0.53050547550392224</v>
      </c>
    </row>
    <row r="17" spans="17:23" x14ac:dyDescent="0.3">
      <c r="Q17" s="2">
        <v>210</v>
      </c>
      <c r="R17" s="2">
        <f t="shared" si="0"/>
        <v>0.54193548387096779</v>
      </c>
      <c r="T17" s="4">
        <f t="shared" si="1"/>
        <v>2.3498559526289942</v>
      </c>
      <c r="W17">
        <f t="shared" si="2"/>
        <v>0.54021465957022619</v>
      </c>
    </row>
    <row r="18" spans="17:23" x14ac:dyDescent="0.3">
      <c r="Q18" s="2">
        <v>220</v>
      </c>
      <c r="R18" s="2">
        <f t="shared" si="0"/>
        <v>0.56774193548387097</v>
      </c>
      <c r="T18" s="4">
        <f t="shared" si="1"/>
        <v>2.4476266975870664</v>
      </c>
      <c r="W18">
        <f t="shared" si="2"/>
        <v>0.55032197259607163</v>
      </c>
    </row>
    <row r="19" spans="17:23" x14ac:dyDescent="0.3">
      <c r="Q19" s="2">
        <v>215</v>
      </c>
      <c r="R19" s="2">
        <f t="shared" si="0"/>
        <v>0.55483870967741933</v>
      </c>
      <c r="T19" s="4">
        <f t="shared" si="1"/>
        <v>2.5129400677470723</v>
      </c>
      <c r="W19">
        <f t="shared" si="2"/>
        <v>0.55682992240612006</v>
      </c>
    </row>
    <row r="20" spans="17:23" x14ac:dyDescent="0.3">
      <c r="Q20" s="2">
        <v>205</v>
      </c>
      <c r="R20" s="2">
        <f t="shared" si="0"/>
        <v>0.52903225806451615</v>
      </c>
      <c r="T20" s="4">
        <f t="shared" si="1"/>
        <v>2.5393843122621744</v>
      </c>
      <c r="W20">
        <f t="shared" si="2"/>
        <v>0.55941161566835651</v>
      </c>
    </row>
    <row r="21" spans="17:23" x14ac:dyDescent="0.3">
      <c r="Q21" s="2">
        <v>225</v>
      </c>
      <c r="R21" s="2">
        <f t="shared" si="0"/>
        <v>0.58064516129032262</v>
      </c>
      <c r="T21" s="4">
        <f t="shared" si="1"/>
        <v>2.6121526111000621</v>
      </c>
      <c r="W21">
        <f t="shared" si="2"/>
        <v>0.56636300473089241</v>
      </c>
    </row>
    <row r="22" spans="17:23" x14ac:dyDescent="0.3">
      <c r="Q22" s="2">
        <v>230</v>
      </c>
      <c r="R22" s="2">
        <f t="shared" si="0"/>
        <v>0.59354838709677415</v>
      </c>
      <c r="T22" s="4">
        <f t="shared" si="1"/>
        <v>2.6832704759768236</v>
      </c>
      <c r="W22">
        <f t="shared" si="2"/>
        <v>0.57294800497661935</v>
      </c>
    </row>
    <row r="23" spans="17:23" x14ac:dyDescent="0.3">
      <c r="Q23" s="2">
        <v>240</v>
      </c>
      <c r="R23" s="2">
        <f t="shared" si="0"/>
        <v>0.61935483870967745</v>
      </c>
      <c r="T23" s="4">
        <f t="shared" si="1"/>
        <v>2.7659712194911368</v>
      </c>
      <c r="W23">
        <f t="shared" si="2"/>
        <v>0.58035835553922199</v>
      </c>
    </row>
    <row r="24" spans="17:23" x14ac:dyDescent="0.3">
      <c r="Q24" s="2">
        <v>235</v>
      </c>
      <c r="R24" s="2">
        <f t="shared" si="0"/>
        <v>0.6064516129032258</v>
      </c>
      <c r="T24" s="4">
        <f t="shared" si="1"/>
        <v>2.8192285884961352</v>
      </c>
      <c r="W24">
        <f t="shared" si="2"/>
        <v>0.58499582178480769</v>
      </c>
    </row>
    <row r="25" spans="17:23" x14ac:dyDescent="0.3">
      <c r="Q25" s="2">
        <v>250</v>
      </c>
      <c r="R25" s="2">
        <f t="shared" si="0"/>
        <v>0.64516129032258063</v>
      </c>
      <c r="T25" s="4">
        <f t="shared" si="1"/>
        <v>2.9005441611194889</v>
      </c>
      <c r="W25">
        <f t="shared" si="2"/>
        <v>0.5918820575339705</v>
      </c>
    </row>
    <row r="26" spans="17:23" x14ac:dyDescent="0.3">
      <c r="Q26" s="2">
        <v>260</v>
      </c>
      <c r="R26" s="2">
        <f t="shared" si="0"/>
        <v>0.67096774193548392</v>
      </c>
      <c r="T26" s="4">
        <f t="shared" si="1"/>
        <v>2.9914030708310748</v>
      </c>
      <c r="W26">
        <f t="shared" si="2"/>
        <v>0.59931106111472632</v>
      </c>
    </row>
    <row r="27" spans="17:23" x14ac:dyDescent="0.3">
      <c r="Q27" s="2">
        <v>255</v>
      </c>
      <c r="R27" s="2">
        <f t="shared" si="0"/>
        <v>0.65806451612903227</v>
      </c>
      <c r="T27" s="4">
        <f t="shared" si="1"/>
        <v>3.0511869727938925</v>
      </c>
      <c r="W27">
        <f t="shared" si="2"/>
        <v>0.60405346094449397</v>
      </c>
    </row>
    <row r="28" spans="17:23" x14ac:dyDescent="0.3">
      <c r="Q28" s="2">
        <v>245</v>
      </c>
      <c r="R28" s="2">
        <f t="shared" si="0"/>
        <v>0.63225806451612898</v>
      </c>
      <c r="T28" s="4">
        <f t="shared" si="1"/>
        <v>3.0732076427512434</v>
      </c>
      <c r="W28">
        <f t="shared" si="2"/>
        <v>0.60577209906681784</v>
      </c>
    </row>
    <row r="29" spans="17:23" x14ac:dyDescent="0.3">
      <c r="Q29" s="2">
        <v>265</v>
      </c>
      <c r="R29" s="2">
        <f t="shared" si="0"/>
        <v>0.68387096774193545</v>
      </c>
      <c r="T29" s="4">
        <f t="shared" si="1"/>
        <v>3.1424370819429299</v>
      </c>
      <c r="W29">
        <f t="shared" si="2"/>
        <v>0.61107934465104741</v>
      </c>
    </row>
    <row r="30" spans="17:23" x14ac:dyDescent="0.3">
      <c r="Q30" s="2">
        <v>270</v>
      </c>
      <c r="R30" s="2">
        <f t="shared" si="0"/>
        <v>0.6967741935483871</v>
      </c>
      <c r="T30" s="4">
        <f t="shared" si="1"/>
        <v>3.2107238591027314</v>
      </c>
      <c r="W30">
        <f t="shared" si="2"/>
        <v>0.61617616782625029</v>
      </c>
    </row>
    <row r="31" spans="17:23" x14ac:dyDescent="0.3">
      <c r="Q31" s="2">
        <v>280</v>
      </c>
      <c r="R31" s="2">
        <f t="shared" si="0"/>
        <v>0.72258064516129028</v>
      </c>
      <c r="T31" s="4">
        <f t="shared" si="1"/>
        <v>3.2911597324434756</v>
      </c>
      <c r="W31">
        <f t="shared" si="2"/>
        <v>0.62201103328317153</v>
      </c>
    </row>
    <row r="32" spans="17:23" x14ac:dyDescent="0.3">
      <c r="Q32" s="2">
        <v>275</v>
      </c>
      <c r="R32" s="2">
        <f t="shared" si="0"/>
        <v>0.70967741935483875</v>
      </c>
      <c r="T32" s="4">
        <f t="shared" si="1"/>
        <v>3.3426052053096198</v>
      </c>
      <c r="W32">
        <f t="shared" si="2"/>
        <v>0.62565079710319071</v>
      </c>
    </row>
    <row r="33" spans="17:23" x14ac:dyDescent="0.3">
      <c r="Q33" s="2">
        <v>290</v>
      </c>
      <c r="R33" s="2">
        <f t="shared" si="0"/>
        <v>0.74838709677419357</v>
      </c>
      <c r="T33" s="4">
        <f t="shared" si="1"/>
        <v>3.4224712610218897</v>
      </c>
      <c r="W33">
        <f t="shared" si="2"/>
        <v>0.63116448133593406</v>
      </c>
    </row>
    <row r="34" spans="17:23" x14ac:dyDescent="0.3">
      <c r="Q34" s="2">
        <v>300</v>
      </c>
      <c r="R34" s="2">
        <f t="shared" si="0"/>
        <v>0.77419354838709675</v>
      </c>
      <c r="T34" s="4">
        <f t="shared" si="1"/>
        <v>3.5121705572046089</v>
      </c>
      <c r="W34">
        <f t="shared" si="2"/>
        <v>0.63716652464863832</v>
      </c>
    </row>
    <row r="35" spans="17:23" x14ac:dyDescent="0.3">
      <c r="Q35" s="2">
        <v>295</v>
      </c>
      <c r="R35" s="2">
        <f t="shared" si="0"/>
        <v>0.76129032258064511</v>
      </c>
      <c r="T35" s="4">
        <f t="shared" ref="T35:T66" si="3">R35+$S$2*T34</f>
        <v>3.5710267683443324</v>
      </c>
      <c r="W35">
        <f t="shared" si="2"/>
        <v>0.64099975046531954</v>
      </c>
    </row>
    <row r="36" spans="17:23" x14ac:dyDescent="0.3">
      <c r="Q36" s="2">
        <v>285</v>
      </c>
      <c r="R36" s="2">
        <f t="shared" si="0"/>
        <v>0.73548387096774193</v>
      </c>
      <c r="T36" s="4">
        <f t="shared" si="3"/>
        <v>3.5923052856432078</v>
      </c>
      <c r="W36">
        <f t="shared" si="2"/>
        <v>0.64236573329884528</v>
      </c>
    </row>
    <row r="37" spans="17:23" x14ac:dyDescent="0.3">
      <c r="Q37" s="2">
        <v>305</v>
      </c>
      <c r="R37" s="2">
        <f t="shared" si="0"/>
        <v>0.7870967741935484</v>
      </c>
      <c r="T37" s="4">
        <f t="shared" si="3"/>
        <v>3.6609410027081148</v>
      </c>
      <c r="W37">
        <f t="shared" si="2"/>
        <v>0.64670184708810285</v>
      </c>
    </row>
    <row r="38" spans="17:23" x14ac:dyDescent="0.3">
      <c r="Q38" s="2">
        <v>310</v>
      </c>
      <c r="R38" s="2">
        <f t="shared" si="0"/>
        <v>0.8</v>
      </c>
      <c r="T38" s="4">
        <f t="shared" si="3"/>
        <v>3.7287528021664924</v>
      </c>
      <c r="W38">
        <f t="shared" si="2"/>
        <v>0.65088387139978487</v>
      </c>
    </row>
    <row r="39" spans="17:23" x14ac:dyDescent="0.3">
      <c r="Q39" s="2">
        <v>320</v>
      </c>
      <c r="R39" s="2">
        <f t="shared" si="0"/>
        <v>0.82580645161290323</v>
      </c>
      <c r="T39" s="4">
        <f t="shared" si="3"/>
        <v>3.8088086933460974</v>
      </c>
      <c r="W39">
        <f t="shared" si="2"/>
        <v>0.65569532315791879</v>
      </c>
    </row>
    <row r="40" spans="17:23" x14ac:dyDescent="0.3">
      <c r="Q40" s="2">
        <v>315</v>
      </c>
      <c r="R40" s="2">
        <f t="shared" si="0"/>
        <v>0.81290322580645158</v>
      </c>
      <c r="T40" s="4">
        <f t="shared" si="3"/>
        <v>3.8599501804833296</v>
      </c>
      <c r="W40">
        <f t="shared" si="2"/>
        <v>0.65870017006952786</v>
      </c>
    </row>
    <row r="41" spans="17:23" x14ac:dyDescent="0.3">
      <c r="Q41" s="2">
        <v>330</v>
      </c>
      <c r="R41" s="2">
        <f t="shared" si="0"/>
        <v>0.85161290322580641</v>
      </c>
      <c r="T41" s="4">
        <f t="shared" si="3"/>
        <v>3.9395730476124702</v>
      </c>
      <c r="W41">
        <f t="shared" si="2"/>
        <v>0.6632754603794393</v>
      </c>
    </row>
    <row r="42" spans="17:23" x14ac:dyDescent="0.3">
      <c r="Q42" s="2">
        <v>340</v>
      </c>
      <c r="R42" s="2">
        <f t="shared" si="0"/>
        <v>0.8774193548387097</v>
      </c>
      <c r="T42" s="4">
        <f t="shared" si="3"/>
        <v>4.0290777929286854</v>
      </c>
      <c r="W42">
        <f t="shared" si="2"/>
        <v>0.66827430849445391</v>
      </c>
    </row>
    <row r="43" spans="17:23" x14ac:dyDescent="0.3">
      <c r="Q43" s="2">
        <v>335</v>
      </c>
      <c r="R43" s="2">
        <f t="shared" si="0"/>
        <v>0.86451612903225805</v>
      </c>
      <c r="T43" s="4">
        <f t="shared" si="3"/>
        <v>4.0877783633752065</v>
      </c>
      <c r="W43">
        <f t="shared" si="2"/>
        <v>0.67147292811574155</v>
      </c>
    </row>
    <row r="44" spans="17:23" x14ac:dyDescent="0.3">
      <c r="Q44" s="2">
        <v>325</v>
      </c>
      <c r="R44" s="2">
        <f t="shared" si="0"/>
        <v>0.83870967741935487</v>
      </c>
      <c r="T44" s="4">
        <f t="shared" si="3"/>
        <v>4.10893236811952</v>
      </c>
      <c r="W44">
        <f t="shared" si="2"/>
        <v>0.67261055132361047</v>
      </c>
    </row>
    <row r="45" spans="17:23" x14ac:dyDescent="0.3">
      <c r="Q45" s="2">
        <v>345</v>
      </c>
      <c r="R45" s="2">
        <f t="shared" si="0"/>
        <v>0.89032258064516134</v>
      </c>
      <c r="T45" s="4">
        <f t="shared" si="3"/>
        <v>4.1774684751407776</v>
      </c>
      <c r="W45">
        <f t="shared" si="2"/>
        <v>0.67624278326172726</v>
      </c>
    </row>
    <row r="46" spans="17:23" x14ac:dyDescent="0.3">
      <c r="Q46" s="2">
        <v>350</v>
      </c>
      <c r="R46" s="2">
        <f t="shared" si="0"/>
        <v>0.90322580645161288</v>
      </c>
      <c r="T46" s="4">
        <f t="shared" si="3"/>
        <v>4.245200586564235</v>
      </c>
      <c r="W46">
        <f t="shared" si="2"/>
        <v>0.67975408118952196</v>
      </c>
    </row>
    <row r="47" spans="17:23" x14ac:dyDescent="0.3">
      <c r="Q47" s="2">
        <v>360</v>
      </c>
      <c r="R47" s="2">
        <f t="shared" si="0"/>
        <v>0.92903225806451617</v>
      </c>
      <c r="T47" s="4">
        <f t="shared" si="3"/>
        <v>4.3251927273159039</v>
      </c>
      <c r="W47">
        <f t="shared" si="2"/>
        <v>0.68380410112045709</v>
      </c>
    </row>
    <row r="48" spans="17:23" x14ac:dyDescent="0.3">
      <c r="Q48" s="2">
        <v>355</v>
      </c>
      <c r="R48" s="2">
        <f t="shared" si="0"/>
        <v>0.91612903225806452</v>
      </c>
      <c r="T48" s="4">
        <f t="shared" si="3"/>
        <v>4.3762832141107877</v>
      </c>
      <c r="W48">
        <f t="shared" si="2"/>
        <v>0.68633764642480477</v>
      </c>
    </row>
    <row r="49" spans="17:23" x14ac:dyDescent="0.3">
      <c r="Q49" s="2">
        <v>370</v>
      </c>
      <c r="R49" s="2">
        <f t="shared" si="0"/>
        <v>0.95483870967741935</v>
      </c>
      <c r="T49" s="4">
        <f t="shared" si="3"/>
        <v>4.4558652809660497</v>
      </c>
      <c r="W49">
        <f t="shared" si="2"/>
        <v>0.69020419216357598</v>
      </c>
    </row>
    <row r="50" spans="17:23" x14ac:dyDescent="0.3">
      <c r="Q50" s="2">
        <v>380</v>
      </c>
      <c r="R50" s="2">
        <f t="shared" si="0"/>
        <v>0.98064516129032253</v>
      </c>
      <c r="T50" s="4">
        <f t="shared" si="3"/>
        <v>4.5453373860631627</v>
      </c>
      <c r="W50">
        <f t="shared" si="2"/>
        <v>0.69443897510026686</v>
      </c>
    </row>
    <row r="51" spans="17:23" x14ac:dyDescent="0.3">
      <c r="Q51" s="2">
        <v>375</v>
      </c>
      <c r="R51" s="2">
        <f t="shared" si="0"/>
        <v>0.967741935483871</v>
      </c>
      <c r="T51" s="4">
        <f t="shared" si="3"/>
        <v>4.6040118443344014</v>
      </c>
      <c r="W51">
        <f t="shared" si="2"/>
        <v>0.69715378361778602</v>
      </c>
    </row>
    <row r="52" spans="17:23" x14ac:dyDescent="0.3">
      <c r="Q52" s="2">
        <v>365</v>
      </c>
      <c r="R52" s="2">
        <f t="shared" si="0"/>
        <v>0.9419354838709677</v>
      </c>
      <c r="T52" s="4">
        <f t="shared" si="3"/>
        <v>4.6251449593384883</v>
      </c>
      <c r="W52">
        <f t="shared" si="2"/>
        <v>0.69811981288335501</v>
      </c>
    </row>
    <row r="53" spans="17:23" x14ac:dyDescent="0.3">
      <c r="Q53" s="2">
        <v>385</v>
      </c>
      <c r="R53" s="2">
        <f t="shared" si="0"/>
        <v>0.99354838709677418</v>
      </c>
      <c r="T53" s="4">
        <f t="shared" si="3"/>
        <v>4.6936643545675647</v>
      </c>
      <c r="W53">
        <f t="shared" si="2"/>
        <v>0.70120999589182309</v>
      </c>
    </row>
    <row r="54" spans="17:23" x14ac:dyDescent="0.3">
      <c r="Q54" s="2">
        <v>390</v>
      </c>
      <c r="R54" s="2">
        <f t="shared" si="0"/>
        <v>1.0064516129032257</v>
      </c>
      <c r="T54" s="4">
        <f t="shared" si="3"/>
        <v>4.7613830965572781</v>
      </c>
      <c r="W54">
        <f t="shared" si="2"/>
        <v>0.70420253202065297</v>
      </c>
    </row>
    <row r="55" spans="17:23" x14ac:dyDescent="0.3">
      <c r="Q55" s="2">
        <v>400</v>
      </c>
      <c r="R55" s="2">
        <f t="shared" si="0"/>
        <v>1.032258064516129</v>
      </c>
      <c r="T55" s="4">
        <f t="shared" si="3"/>
        <v>4.8413645417619513</v>
      </c>
      <c r="W55">
        <f t="shared" si="2"/>
        <v>0.70766065924548549</v>
      </c>
    </row>
    <row r="56" spans="17:23" x14ac:dyDescent="0.3">
      <c r="Q56" s="2">
        <v>395</v>
      </c>
      <c r="R56" s="2">
        <f t="shared" si="0"/>
        <v>1.0193548387096774</v>
      </c>
      <c r="T56" s="4">
        <f t="shared" si="3"/>
        <v>4.8924464721192384</v>
      </c>
      <c r="W56">
        <f t="shared" si="2"/>
        <v>0.70982727133388168</v>
      </c>
    </row>
    <row r="57" spans="17:23" x14ac:dyDescent="0.3">
      <c r="Q57" s="2">
        <v>410</v>
      </c>
      <c r="R57" s="2">
        <f t="shared" si="0"/>
        <v>1.0580645161290323</v>
      </c>
      <c r="T57" s="4">
        <f t="shared" si="3"/>
        <v>4.9720216938244235</v>
      </c>
      <c r="W57">
        <f t="shared" si="2"/>
        <v>0.71313915994100663</v>
      </c>
    </row>
    <row r="58" spans="17:23" x14ac:dyDescent="0.3">
      <c r="Q58" s="2">
        <v>420</v>
      </c>
      <c r="R58" s="2">
        <f t="shared" si="0"/>
        <v>1.0838709677419356</v>
      </c>
      <c r="T58" s="4">
        <f t="shared" si="3"/>
        <v>5.0614883228014751</v>
      </c>
      <c r="W58">
        <f t="shared" si="2"/>
        <v>0.71677358814826331</v>
      </c>
    </row>
    <row r="59" spans="17:23" x14ac:dyDescent="0.3">
      <c r="Q59" s="2">
        <v>415</v>
      </c>
      <c r="R59" s="2">
        <f t="shared" si="0"/>
        <v>1.0709677419354839</v>
      </c>
      <c r="T59" s="4">
        <f t="shared" si="3"/>
        <v>5.1201584001766642</v>
      </c>
      <c r="W59">
        <f t="shared" si="2"/>
        <v>0.71910737267440905</v>
      </c>
    </row>
    <row r="60" spans="17:23" x14ac:dyDescent="0.3">
      <c r="Q60" s="2">
        <v>405</v>
      </c>
      <c r="R60" s="2">
        <f t="shared" si="0"/>
        <v>1.0451612903225806</v>
      </c>
      <c r="T60" s="4">
        <f t="shared" si="3"/>
        <v>5.1412880104639118</v>
      </c>
      <c r="W60">
        <f t="shared" si="2"/>
        <v>0.71993847649479181</v>
      </c>
    </row>
    <row r="61" spans="17:23" x14ac:dyDescent="0.3">
      <c r="Q61" s="2">
        <v>425</v>
      </c>
      <c r="R61" s="2">
        <f t="shared" si="0"/>
        <v>1.096774193548387</v>
      </c>
      <c r="T61" s="4">
        <f t="shared" si="3"/>
        <v>5.209804601919517</v>
      </c>
      <c r="W61">
        <f t="shared" si="2"/>
        <v>0.72259997178459923</v>
      </c>
    </row>
    <row r="62" spans="17:23" x14ac:dyDescent="0.3">
      <c r="Q62" s="2">
        <v>430</v>
      </c>
      <c r="R62" s="2">
        <f t="shared" si="0"/>
        <v>1.1096774193548387</v>
      </c>
      <c r="T62" s="4">
        <f t="shared" si="3"/>
        <v>5.2775211008904526</v>
      </c>
      <c r="W62">
        <f t="shared" si="2"/>
        <v>0.72518114722397897</v>
      </c>
    </row>
    <row r="63" spans="17:23" x14ac:dyDescent="0.3">
      <c r="Q63" s="2">
        <v>440</v>
      </c>
      <c r="R63" s="2">
        <f t="shared" si="0"/>
        <v>1.1354838709677419</v>
      </c>
      <c r="T63" s="4">
        <f t="shared" si="3"/>
        <v>5.3575007516801048</v>
      </c>
      <c r="W63">
        <f t="shared" si="2"/>
        <v>0.72816856327968504</v>
      </c>
    </row>
    <row r="64" spans="17:23" x14ac:dyDescent="0.3">
      <c r="Q64" s="2">
        <v>435</v>
      </c>
      <c r="R64" s="2">
        <f t="shared" si="0"/>
        <v>1.1225806451612903</v>
      </c>
      <c r="T64" s="4">
        <f t="shared" si="3"/>
        <v>5.4085812465053742</v>
      </c>
      <c r="W64">
        <f t="shared" si="2"/>
        <v>0.73004277965590247</v>
      </c>
    </row>
    <row r="65" spans="17:23" x14ac:dyDescent="0.3">
      <c r="Q65" s="2">
        <v>450</v>
      </c>
      <c r="R65" s="2">
        <f t="shared" si="0"/>
        <v>1.1612903225806452</v>
      </c>
      <c r="T65" s="4">
        <f t="shared" si="3"/>
        <v>5.4881553197849442</v>
      </c>
      <c r="W65">
        <f t="shared" si="2"/>
        <v>0.73291152298675355</v>
      </c>
    </row>
    <row r="66" spans="17:23" x14ac:dyDescent="0.3">
      <c r="Q66" s="2">
        <v>460</v>
      </c>
      <c r="R66" s="2">
        <f t="shared" si="0"/>
        <v>1.1870967741935483</v>
      </c>
      <c r="T66" s="4">
        <f t="shared" si="3"/>
        <v>5.5776210300215041</v>
      </c>
      <c r="W66">
        <f t="shared" si="2"/>
        <v>0.73606492168501536</v>
      </c>
    </row>
    <row r="67" spans="17:23" x14ac:dyDescent="0.3">
      <c r="Q67" s="2">
        <v>455</v>
      </c>
      <c r="R67" s="2">
        <f t="shared" ref="R67:R105" si="4">Q67/$P$2</f>
        <v>1.1741935483870967</v>
      </c>
      <c r="T67" s="4">
        <f t="shared" ref="T67:T98" si="5">R67+$S$2*T66</f>
        <v>5.6362903724043001</v>
      </c>
      <c r="W67">
        <f t="shared" ref="W67:W105" si="6" xml:space="preserve"> (T67^$U$2) / (T67^$U$2 + $V$2^$U$2)</f>
        <v>0.73809272533329606</v>
      </c>
    </row>
    <row r="68" spans="17:23" x14ac:dyDescent="0.3">
      <c r="Q68" s="2">
        <v>445</v>
      </c>
      <c r="R68" s="2">
        <f t="shared" si="4"/>
        <v>1.1483870967741936</v>
      </c>
      <c r="T68" s="4">
        <f t="shared" si="5"/>
        <v>5.6574193946976337</v>
      </c>
      <c r="W68">
        <f t="shared" si="6"/>
        <v>0.73881540282553981</v>
      </c>
    </row>
    <row r="69" spans="17:23" x14ac:dyDescent="0.3">
      <c r="Q69" s="2">
        <v>465</v>
      </c>
      <c r="R69" s="2">
        <f t="shared" si="4"/>
        <v>1.2</v>
      </c>
      <c r="T69" s="4">
        <f t="shared" si="5"/>
        <v>5.7259355157581071</v>
      </c>
      <c r="W69">
        <f t="shared" si="6"/>
        <v>0.74113167319080964</v>
      </c>
    </row>
    <row r="70" spans="17:23" x14ac:dyDescent="0.3">
      <c r="Q70" s="2">
        <v>470</v>
      </c>
      <c r="R70" s="2">
        <f t="shared" si="4"/>
        <v>1.2129032258064516</v>
      </c>
      <c r="T70" s="4">
        <f t="shared" si="5"/>
        <v>5.7936516384129373</v>
      </c>
      <c r="W70">
        <f t="shared" si="6"/>
        <v>0.74338088321236917</v>
      </c>
    </row>
    <row r="71" spans="17:23" x14ac:dyDescent="0.3">
      <c r="Q71" s="2">
        <v>480</v>
      </c>
      <c r="R71" s="2">
        <f t="shared" si="4"/>
        <v>1.2387096774193549</v>
      </c>
      <c r="T71" s="4">
        <f t="shared" si="5"/>
        <v>5.8736309881497046</v>
      </c>
      <c r="W71">
        <f t="shared" si="6"/>
        <v>0.74598758780921759</v>
      </c>
    </row>
    <row r="72" spans="17:23" x14ac:dyDescent="0.3">
      <c r="Q72" s="2">
        <v>475</v>
      </c>
      <c r="R72" s="2">
        <f t="shared" si="4"/>
        <v>1.2258064516129032</v>
      </c>
      <c r="T72" s="4">
        <f t="shared" si="5"/>
        <v>5.9247112421326671</v>
      </c>
      <c r="W72">
        <f t="shared" si="6"/>
        <v>0.74762487377877407</v>
      </c>
    </row>
    <row r="73" spans="17:23" x14ac:dyDescent="0.3">
      <c r="Q73" s="2">
        <v>490</v>
      </c>
      <c r="R73" s="2">
        <f t="shared" si="4"/>
        <v>1.264516129032258</v>
      </c>
      <c r="T73" s="4">
        <f t="shared" si="5"/>
        <v>6.0042851227383922</v>
      </c>
      <c r="W73">
        <f t="shared" si="6"/>
        <v>0.75013383839633041</v>
      </c>
    </row>
    <row r="74" spans="17:23" x14ac:dyDescent="0.3">
      <c r="Q74" s="2">
        <v>500</v>
      </c>
      <c r="R74" s="2">
        <f t="shared" si="4"/>
        <v>1.2903225806451613</v>
      </c>
      <c r="T74" s="4">
        <f t="shared" si="5"/>
        <v>6.0937506788358755</v>
      </c>
      <c r="W74">
        <f t="shared" si="6"/>
        <v>0.7528957736207833</v>
      </c>
    </row>
    <row r="75" spans="17:23" x14ac:dyDescent="0.3">
      <c r="Q75" s="2">
        <v>495</v>
      </c>
      <c r="R75" s="2">
        <f t="shared" si="4"/>
        <v>1.2774193548387096</v>
      </c>
      <c r="T75" s="4">
        <f t="shared" si="5"/>
        <v>6.1524198979074107</v>
      </c>
      <c r="W75">
        <f t="shared" si="6"/>
        <v>0.75467406916646107</v>
      </c>
    </row>
    <row r="76" spans="17:23" x14ac:dyDescent="0.3">
      <c r="Q76" s="2">
        <v>485</v>
      </c>
      <c r="R76" s="2">
        <f t="shared" si="4"/>
        <v>1.2516129032258065</v>
      </c>
      <c r="T76" s="4">
        <f t="shared" si="5"/>
        <v>6.1735488215517353</v>
      </c>
      <c r="W76">
        <f t="shared" si="6"/>
        <v>0.75530824570026811</v>
      </c>
    </row>
    <row r="77" spans="17:23" x14ac:dyDescent="0.3">
      <c r="Q77" s="2">
        <v>505</v>
      </c>
      <c r="R77" s="2">
        <f t="shared" si="4"/>
        <v>1.3032258064516129</v>
      </c>
      <c r="T77" s="4">
        <f t="shared" si="5"/>
        <v>6.2420648636930007</v>
      </c>
      <c r="W77">
        <f t="shared" si="6"/>
        <v>0.75734236103744212</v>
      </c>
    </row>
    <row r="78" spans="17:23" x14ac:dyDescent="0.3">
      <c r="Q78" s="2">
        <v>510</v>
      </c>
      <c r="R78" s="2">
        <f t="shared" si="4"/>
        <v>1.3161290322580645</v>
      </c>
      <c r="T78" s="4">
        <f t="shared" si="5"/>
        <v>6.3097809232124655</v>
      </c>
      <c r="W78">
        <f t="shared" si="6"/>
        <v>0.75931976805631329</v>
      </c>
    </row>
    <row r="79" spans="17:23" x14ac:dyDescent="0.3">
      <c r="Q79" s="2">
        <v>520</v>
      </c>
      <c r="R79" s="2">
        <f t="shared" si="4"/>
        <v>1.3419354838709678</v>
      </c>
      <c r="T79" s="4">
        <f t="shared" si="5"/>
        <v>6.3897602224409402</v>
      </c>
      <c r="W79">
        <f t="shared" si="6"/>
        <v>0.76161416453233088</v>
      </c>
    </row>
    <row r="80" spans="17:23" x14ac:dyDescent="0.3">
      <c r="Q80" s="2">
        <v>515</v>
      </c>
      <c r="R80" s="2">
        <f t="shared" si="4"/>
        <v>1.3290322580645162</v>
      </c>
      <c r="T80" s="4">
        <f t="shared" si="5"/>
        <v>6.4408404360172691</v>
      </c>
      <c r="W80">
        <f t="shared" si="6"/>
        <v>0.7630567696237982</v>
      </c>
    </row>
    <row r="81" spans="17:23" x14ac:dyDescent="0.3">
      <c r="Q81" s="2">
        <v>530</v>
      </c>
      <c r="R81" s="2">
        <f t="shared" si="4"/>
        <v>1.3677419354838709</v>
      </c>
      <c r="T81" s="4">
        <f t="shared" si="5"/>
        <v>6.5204142842976864</v>
      </c>
      <c r="W81">
        <f t="shared" si="6"/>
        <v>0.76526962970734769</v>
      </c>
    </row>
    <row r="82" spans="17:23" x14ac:dyDescent="0.3">
      <c r="Q82" s="2">
        <v>540</v>
      </c>
      <c r="R82" s="2">
        <f t="shared" si="4"/>
        <v>1.3935483870967742</v>
      </c>
      <c r="T82" s="4">
        <f t="shared" si="5"/>
        <v>6.6098798145349233</v>
      </c>
      <c r="W82">
        <f t="shared" si="6"/>
        <v>0.76770872032108217</v>
      </c>
    </row>
    <row r="83" spans="17:23" x14ac:dyDescent="0.3">
      <c r="Q83" s="2">
        <v>535</v>
      </c>
      <c r="R83" s="2">
        <f t="shared" si="4"/>
        <v>1.3806451612903226</v>
      </c>
      <c r="T83" s="4">
        <f t="shared" si="5"/>
        <v>6.6685490129182616</v>
      </c>
      <c r="W83">
        <f t="shared" si="6"/>
        <v>0.76928087999277495</v>
      </c>
    </row>
    <row r="84" spans="17:23" x14ac:dyDescent="0.3">
      <c r="Q84" s="2">
        <v>525</v>
      </c>
      <c r="R84" s="2">
        <f t="shared" si="4"/>
        <v>1.3548387096774193</v>
      </c>
      <c r="T84" s="4">
        <f t="shared" si="5"/>
        <v>6.6896779200120289</v>
      </c>
      <c r="W84">
        <f t="shared" si="6"/>
        <v>0.76984187234442036</v>
      </c>
    </row>
    <row r="85" spans="17:23" x14ac:dyDescent="0.3">
      <c r="Q85" s="2">
        <v>545</v>
      </c>
      <c r="R85" s="2">
        <f t="shared" si="4"/>
        <v>1.4064516129032258</v>
      </c>
      <c r="T85" s="4">
        <f t="shared" si="5"/>
        <v>6.7581939489128491</v>
      </c>
      <c r="W85">
        <f t="shared" si="6"/>
        <v>0.77164241718485127</v>
      </c>
    </row>
    <row r="86" spans="17:23" x14ac:dyDescent="0.3">
      <c r="Q86" s="2">
        <v>550</v>
      </c>
      <c r="R86" s="2">
        <f t="shared" si="4"/>
        <v>1.4193548387096775</v>
      </c>
      <c r="T86" s="4">
        <f t="shared" si="5"/>
        <v>6.8259099978399576</v>
      </c>
      <c r="W86">
        <f t="shared" si="6"/>
        <v>0.77339447144946216</v>
      </c>
    </row>
    <row r="87" spans="17:23" x14ac:dyDescent="0.3">
      <c r="Q87" s="2">
        <v>560</v>
      </c>
      <c r="R87" s="2">
        <f t="shared" si="4"/>
        <v>1.4451612903225806</v>
      </c>
      <c r="T87" s="4">
        <f t="shared" si="5"/>
        <v>6.9058892885945475</v>
      </c>
      <c r="W87">
        <f t="shared" si="6"/>
        <v>0.77542950117723475</v>
      </c>
    </row>
    <row r="88" spans="17:23" x14ac:dyDescent="0.3">
      <c r="Q88" s="2">
        <v>555</v>
      </c>
      <c r="R88" s="2">
        <f t="shared" si="4"/>
        <v>1.4322580645161291</v>
      </c>
      <c r="T88" s="4">
        <f t="shared" si="5"/>
        <v>6.9569694953917676</v>
      </c>
      <c r="W88">
        <f t="shared" si="6"/>
        <v>0.77671019187583801</v>
      </c>
    </row>
    <row r="89" spans="17:23" x14ac:dyDescent="0.3">
      <c r="Q89" s="2">
        <v>570</v>
      </c>
      <c r="R89" s="2">
        <f t="shared" si="4"/>
        <v>1.4709677419354839</v>
      </c>
      <c r="T89" s="4">
        <f t="shared" si="5"/>
        <v>7.0365433382488982</v>
      </c>
      <c r="W89">
        <f t="shared" si="6"/>
        <v>0.77867643355013672</v>
      </c>
    </row>
    <row r="90" spans="17:23" x14ac:dyDescent="0.3">
      <c r="Q90" s="2">
        <v>580</v>
      </c>
      <c r="R90" s="2">
        <f t="shared" si="4"/>
        <v>1.4967741935483871</v>
      </c>
      <c r="T90" s="4">
        <f t="shared" si="5"/>
        <v>7.1260088641475061</v>
      </c>
      <c r="W90">
        <f t="shared" si="6"/>
        <v>0.78084614755775528</v>
      </c>
    </row>
    <row r="91" spans="17:23" x14ac:dyDescent="0.3">
      <c r="Q91" s="2">
        <v>575</v>
      </c>
      <c r="R91" s="2">
        <f t="shared" si="4"/>
        <v>1.4838709677419355</v>
      </c>
      <c r="T91" s="4">
        <f t="shared" si="5"/>
        <v>7.1846780590599408</v>
      </c>
      <c r="W91">
        <f t="shared" si="6"/>
        <v>0.78224604203441161</v>
      </c>
    </row>
    <row r="92" spans="17:23" x14ac:dyDescent="0.3">
      <c r="Q92" s="2">
        <v>565</v>
      </c>
      <c r="R92" s="2">
        <f t="shared" si="4"/>
        <v>1.4580645161290322</v>
      </c>
      <c r="T92" s="4">
        <f t="shared" si="5"/>
        <v>7.2058069633769852</v>
      </c>
      <c r="W92">
        <f t="shared" si="6"/>
        <v>0.7827458246782163</v>
      </c>
    </row>
    <row r="93" spans="17:23" x14ac:dyDescent="0.3">
      <c r="Q93" s="2">
        <v>585</v>
      </c>
      <c r="R93" s="2">
        <f t="shared" si="4"/>
        <v>1.5096774193548388</v>
      </c>
      <c r="T93" s="4">
        <f t="shared" si="5"/>
        <v>7.2743229900564277</v>
      </c>
      <c r="W93">
        <f t="shared" si="6"/>
        <v>0.78435083594303079</v>
      </c>
    </row>
    <row r="94" spans="17:23" x14ac:dyDescent="0.3">
      <c r="Q94" s="2">
        <v>590</v>
      </c>
      <c r="R94" s="2">
        <f t="shared" si="4"/>
        <v>1.5225806451612902</v>
      </c>
      <c r="T94" s="4">
        <f t="shared" si="5"/>
        <v>7.3420390372064324</v>
      </c>
      <c r="W94">
        <f t="shared" si="6"/>
        <v>0.78591397530725104</v>
      </c>
    </row>
    <row r="95" spans="17:23" x14ac:dyDescent="0.3">
      <c r="Q95" s="2">
        <v>600</v>
      </c>
      <c r="R95" s="2">
        <f t="shared" si="4"/>
        <v>1.5483870967741935</v>
      </c>
      <c r="T95" s="4">
        <f t="shared" si="5"/>
        <v>7.4220183265393391</v>
      </c>
      <c r="W95">
        <f t="shared" si="6"/>
        <v>0.78773125558814427</v>
      </c>
    </row>
    <row r="96" spans="17:23" x14ac:dyDescent="0.3">
      <c r="Q96" s="2">
        <v>595</v>
      </c>
      <c r="R96" s="2">
        <f t="shared" si="4"/>
        <v>1.5354838709677419</v>
      </c>
      <c r="T96" s="4">
        <f t="shared" si="5"/>
        <v>7.4730985321992129</v>
      </c>
      <c r="W96">
        <f t="shared" si="6"/>
        <v>0.78887583685507245</v>
      </c>
    </row>
    <row r="97" spans="17:23" x14ac:dyDescent="0.3">
      <c r="Q97" s="2">
        <v>610</v>
      </c>
      <c r="R97" s="2">
        <f t="shared" si="4"/>
        <v>1.5741935483870968</v>
      </c>
      <c r="T97" s="4">
        <f t="shared" si="5"/>
        <v>7.5526723741464679</v>
      </c>
      <c r="W97">
        <f t="shared" si="6"/>
        <v>0.79063450292581605</v>
      </c>
    </row>
    <row r="98" spans="17:23" x14ac:dyDescent="0.3">
      <c r="Q98" s="2">
        <v>620</v>
      </c>
      <c r="R98" s="2">
        <f t="shared" si="4"/>
        <v>1.6</v>
      </c>
      <c r="T98" s="4">
        <f t="shared" si="5"/>
        <v>7.6421378993171754</v>
      </c>
      <c r="W98">
        <f t="shared" si="6"/>
        <v>0.79257712128949809</v>
      </c>
    </row>
    <row r="99" spans="17:23" x14ac:dyDescent="0.3">
      <c r="Q99" s="2">
        <v>615</v>
      </c>
      <c r="R99" s="2">
        <f t="shared" si="4"/>
        <v>1.5870967741935484</v>
      </c>
      <c r="T99" s="4">
        <f t="shared" ref="T99:T105" si="7">R99+$S$2*T98</f>
        <v>7.7008070936472892</v>
      </c>
      <c r="W99">
        <f t="shared" si="6"/>
        <v>0.79383158734186898</v>
      </c>
    </row>
    <row r="100" spans="17:23" x14ac:dyDescent="0.3">
      <c r="Q100" s="2">
        <v>605</v>
      </c>
      <c r="R100" s="2">
        <f t="shared" si="4"/>
        <v>1.5612903225806452</v>
      </c>
      <c r="T100" s="4">
        <f t="shared" si="7"/>
        <v>7.7219359974984769</v>
      </c>
      <c r="W100">
        <f t="shared" si="6"/>
        <v>0.79427965782590892</v>
      </c>
    </row>
    <row r="101" spans="17:23" x14ac:dyDescent="0.3">
      <c r="Q101" s="2">
        <v>625</v>
      </c>
      <c r="R101" s="2">
        <f t="shared" si="4"/>
        <v>1.6129032258064515</v>
      </c>
      <c r="T101" s="4">
        <f t="shared" si="7"/>
        <v>7.7904520238052335</v>
      </c>
      <c r="W101">
        <f t="shared" si="6"/>
        <v>0.79571934011452672</v>
      </c>
    </row>
    <row r="102" spans="17:23" x14ac:dyDescent="0.3">
      <c r="Q102" s="2">
        <v>630</v>
      </c>
      <c r="R102" s="2">
        <f t="shared" si="4"/>
        <v>1.6258064516129032</v>
      </c>
      <c r="T102" s="4">
        <f t="shared" si="7"/>
        <v>7.8581680706570909</v>
      </c>
      <c r="W102">
        <f t="shared" si="6"/>
        <v>0.79712254998441201</v>
      </c>
    </row>
    <row r="103" spans="17:23" x14ac:dyDescent="0.3">
      <c r="Q103" s="2">
        <v>640</v>
      </c>
      <c r="R103" s="2">
        <f t="shared" si="4"/>
        <v>1.6516129032258065</v>
      </c>
      <c r="T103" s="4">
        <f t="shared" si="7"/>
        <v>7.9381473597514791</v>
      </c>
      <c r="W103">
        <f t="shared" si="6"/>
        <v>0.7987552480757325</v>
      </c>
    </row>
    <row r="104" spans="17:23" x14ac:dyDescent="0.3">
      <c r="Q104" s="2">
        <v>635</v>
      </c>
      <c r="R104" s="2">
        <f t="shared" si="4"/>
        <v>1.6387096774193548</v>
      </c>
      <c r="T104" s="4">
        <f t="shared" si="7"/>
        <v>7.9892275652205385</v>
      </c>
      <c r="W104">
        <f t="shared" si="6"/>
        <v>0.79978431896342084</v>
      </c>
    </row>
    <row r="105" spans="17:23" x14ac:dyDescent="0.3">
      <c r="Q105" s="2">
        <v>650</v>
      </c>
      <c r="R105" s="2">
        <f t="shared" si="4"/>
        <v>1.6774193548387097</v>
      </c>
      <c r="T105" s="4">
        <f t="shared" si="7"/>
        <v>8.0688014070151404</v>
      </c>
      <c r="W105">
        <f t="shared" si="6"/>
        <v>0.80136662556413529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22E4-72C8-48EC-B272-C0FE7D7AA382}">
  <dimension ref="B3:W30"/>
  <sheetViews>
    <sheetView tabSelected="1" topLeftCell="E13" workbookViewId="0">
      <selection activeCell="Q30" sqref="Q30"/>
    </sheetView>
  </sheetViews>
  <sheetFormatPr defaultRowHeight="14.4" x14ac:dyDescent="0.3"/>
  <cols>
    <col min="15" max="15" width="11.77734375" bestFit="1" customWidth="1"/>
    <col min="17" max="17" width="18.33203125" bestFit="1" customWidth="1"/>
    <col min="19" max="19" width="45.21875" bestFit="1" customWidth="1"/>
  </cols>
  <sheetData>
    <row r="3" spans="2:19" x14ac:dyDescent="0.3">
      <c r="B3">
        <v>0</v>
      </c>
      <c r="D3">
        <v>500</v>
      </c>
      <c r="H3">
        <v>2.2999999999999998</v>
      </c>
      <c r="J3" t="s">
        <v>504</v>
      </c>
    </row>
    <row r="4" spans="2:19" x14ac:dyDescent="0.3">
      <c r="B4">
        <v>1000</v>
      </c>
    </row>
    <row r="5" spans="2:19" x14ac:dyDescent="0.3">
      <c r="J5" t="s">
        <v>505</v>
      </c>
      <c r="N5" t="s">
        <v>506</v>
      </c>
    </row>
    <row r="6" spans="2:19" x14ac:dyDescent="0.3">
      <c r="B6">
        <v>20000</v>
      </c>
    </row>
    <row r="7" spans="2:19" x14ac:dyDescent="0.3">
      <c r="B7">
        <v>30000</v>
      </c>
    </row>
    <row r="9" spans="2:19" x14ac:dyDescent="0.3">
      <c r="M9" t="s">
        <v>507</v>
      </c>
    </row>
    <row r="10" spans="2:19" x14ac:dyDescent="0.3">
      <c r="H10" t="s">
        <v>510</v>
      </c>
      <c r="I10" t="s">
        <v>511</v>
      </c>
    </row>
    <row r="11" spans="2:19" x14ac:dyDescent="0.3">
      <c r="H11" t="s">
        <v>512</v>
      </c>
      <c r="I11" t="s">
        <v>514</v>
      </c>
      <c r="K11">
        <f>100/200</f>
        <v>0.5</v>
      </c>
      <c r="L11">
        <f>2/3</f>
        <v>0.66666666666666663</v>
      </c>
      <c r="O11" t="s">
        <v>518</v>
      </c>
      <c r="Q11" t="s">
        <v>530</v>
      </c>
    </row>
    <row r="12" spans="2:19" x14ac:dyDescent="0.3">
      <c r="D12" t="s">
        <v>508</v>
      </c>
      <c r="E12" t="s">
        <v>509</v>
      </c>
      <c r="H12" t="s">
        <v>513</v>
      </c>
      <c r="I12" t="s">
        <v>515</v>
      </c>
      <c r="K12">
        <f>200/200</f>
        <v>1</v>
      </c>
      <c r="L12">
        <f>3/3</f>
        <v>1</v>
      </c>
    </row>
    <row r="13" spans="2:19" x14ac:dyDescent="0.3">
      <c r="H13" t="s">
        <v>516</v>
      </c>
      <c r="I13" t="s">
        <v>517</v>
      </c>
      <c r="K13">
        <f>300/200</f>
        <v>1.5</v>
      </c>
      <c r="L13">
        <f>4/3</f>
        <v>1.3333333333333333</v>
      </c>
    </row>
    <row r="16" spans="2:19" x14ac:dyDescent="0.3">
      <c r="Q16" t="s">
        <v>525</v>
      </c>
      <c r="S16" t="s">
        <v>526</v>
      </c>
    </row>
    <row r="18" spans="7:23" x14ac:dyDescent="0.3">
      <c r="H18" t="s">
        <v>519</v>
      </c>
      <c r="L18" t="s">
        <v>521</v>
      </c>
    </row>
    <row r="19" spans="7:23" x14ac:dyDescent="0.3">
      <c r="H19" t="s">
        <v>520</v>
      </c>
      <c r="L19" t="s">
        <v>522</v>
      </c>
    </row>
    <row r="22" spans="7:23" x14ac:dyDescent="0.3">
      <c r="V22" s="8" t="s">
        <v>527</v>
      </c>
      <c r="W22" t="s">
        <v>528</v>
      </c>
    </row>
    <row r="23" spans="7:23" x14ac:dyDescent="0.3">
      <c r="N23" t="s">
        <v>510</v>
      </c>
      <c r="O23" t="s">
        <v>511</v>
      </c>
      <c r="P23" s="7">
        <v>0.99</v>
      </c>
      <c r="Q23" t="s">
        <v>529</v>
      </c>
      <c r="V23">
        <v>50</v>
      </c>
      <c r="W23">
        <v>50</v>
      </c>
    </row>
    <row r="24" spans="7:23" x14ac:dyDescent="0.3">
      <c r="V24">
        <v>60</v>
      </c>
      <c r="W24">
        <v>40</v>
      </c>
    </row>
    <row r="25" spans="7:23" x14ac:dyDescent="0.3">
      <c r="V25">
        <v>30</v>
      </c>
      <c r="W25">
        <v>70</v>
      </c>
    </row>
    <row r="26" spans="7:23" x14ac:dyDescent="0.3">
      <c r="G26" t="s">
        <v>523</v>
      </c>
    </row>
    <row r="27" spans="7:23" x14ac:dyDescent="0.3">
      <c r="G27" t="s">
        <v>524</v>
      </c>
    </row>
    <row r="30" spans="7:23" x14ac:dyDescent="0.3">
      <c r="O30" t="s">
        <v>531</v>
      </c>
      <c r="P30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MMM_Data</vt:lpstr>
      <vt:lpstr>formulas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Kumar</cp:lastModifiedBy>
  <dcterms:created xsi:type="dcterms:W3CDTF">2026-04-04T11:33:46Z</dcterms:created>
  <dcterms:modified xsi:type="dcterms:W3CDTF">2026-05-17T09:27:06Z</dcterms:modified>
</cp:coreProperties>
</file>